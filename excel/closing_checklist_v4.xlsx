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PROJECT 2026\RetailCo Financial Analysis\excel\"/>
    </mc:Choice>
  </mc:AlternateContent>
  <xr:revisionPtr revIDLastSave="0" documentId="13_ncr:1_{2429D521-A571-4014-8D56-8FE61F2FE8E6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✅ Closing Checklist" sheetId="1" r:id="rId1"/>
    <sheet name="📊 Monthly P&amp;L (GuV)" sheetId="2" r:id="rId2"/>
    <sheet name="📋 Annual Closing" sheetId="3" r:id="rId3"/>
    <sheet name="📐 Accruals (ARAP-PRAP)" sheetId="4" r:id="rId4"/>
    <sheet name="📖 Legende &amp; Formeln" sheetId="5" r:id="rId5"/>
    <sheet name="🗃️ Raw Data (Sample)" sheetId="6" r:id="rId6"/>
    <sheet name="🧮 Excel Calculations" sheetId="7" r:id="rId7"/>
    <sheet name="📊 KPI Dashboard" sheetId="8" r:id="rId8"/>
    <sheet name="📋 Plan-Ist Vergleich" sheetId="9" r:id="rId9"/>
    <sheet name="🧮 Deckungsbeitrag" sheetId="10" r:id="rId10"/>
    <sheet name="📈 Rolling Forecast" sheetId="11" r:id="rId11"/>
  </sheets>
  <definedNames>
    <definedName name="_xlnm._FilterDatabase" localSheetId="5" hidden="1">'🗃️ Raw Data (Sample)'!$A$4:$K$4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0" i="11" l="1"/>
  <c r="G29" i="11"/>
  <c r="G28" i="11"/>
  <c r="F23" i="11"/>
  <c r="D22" i="11"/>
  <c r="I22" i="11" s="1"/>
  <c r="D21" i="11"/>
  <c r="I21" i="11" s="1"/>
  <c r="D20" i="11"/>
  <c r="I20" i="11" s="1"/>
  <c r="G19" i="11"/>
  <c r="D19" i="11"/>
  <c r="H19" i="11" s="1"/>
  <c r="G18" i="11"/>
  <c r="D18" i="11"/>
  <c r="I18" i="11" s="1"/>
  <c r="G17" i="11"/>
  <c r="D17" i="11"/>
  <c r="G16" i="11"/>
  <c r="D16" i="11"/>
  <c r="I16" i="11" s="1"/>
  <c r="G15" i="11"/>
  <c r="D15" i="11"/>
  <c r="H15" i="11" s="1"/>
  <c r="G14" i="11"/>
  <c r="D14" i="11"/>
  <c r="I14" i="11" s="1"/>
  <c r="G13" i="11"/>
  <c r="D13" i="11"/>
  <c r="H13" i="11" s="1"/>
  <c r="G12" i="11"/>
  <c r="D12" i="11"/>
  <c r="I12" i="11" s="1"/>
  <c r="G11" i="11"/>
  <c r="D11" i="11"/>
  <c r="D23" i="11" s="1"/>
  <c r="E22" i="10"/>
  <c r="D22" i="10"/>
  <c r="G22" i="10" s="1"/>
  <c r="I21" i="10"/>
  <c r="F21" i="10"/>
  <c r="E21" i="10"/>
  <c r="D21" i="10"/>
  <c r="G21" i="10" s="1"/>
  <c r="G20" i="10"/>
  <c r="E20" i="10"/>
  <c r="D20" i="10"/>
  <c r="G19" i="10"/>
  <c r="E19" i="10"/>
  <c r="F19" i="10" s="1"/>
  <c r="D19" i="10"/>
  <c r="E18" i="10"/>
  <c r="D18" i="10"/>
  <c r="G18" i="10" s="1"/>
  <c r="I17" i="10"/>
  <c r="F17" i="10"/>
  <c r="E17" i="10"/>
  <c r="D17" i="10"/>
  <c r="D23" i="10" s="1"/>
  <c r="H12" i="10"/>
  <c r="F12" i="10"/>
  <c r="E12" i="10"/>
  <c r="G12" i="10" s="1"/>
  <c r="D12" i="10"/>
  <c r="C12" i="10"/>
  <c r="D11" i="10"/>
  <c r="E11" i="10" s="1"/>
  <c r="C11" i="10"/>
  <c r="D10" i="10"/>
  <c r="D13" i="10" s="1"/>
  <c r="C10" i="10"/>
  <c r="C13" i="10" s="1"/>
  <c r="K22" i="9"/>
  <c r="E22" i="9"/>
  <c r="J21" i="9"/>
  <c r="D21" i="9"/>
  <c r="F21" i="9" s="1"/>
  <c r="G21" i="9" s="1"/>
  <c r="H21" i="9" s="1"/>
  <c r="J20" i="9"/>
  <c r="D20" i="9"/>
  <c r="I20" i="9" s="1"/>
  <c r="J19" i="9"/>
  <c r="D19" i="9"/>
  <c r="I19" i="9" s="1"/>
  <c r="J18" i="9"/>
  <c r="D18" i="9"/>
  <c r="F18" i="9" s="1"/>
  <c r="G18" i="9" s="1"/>
  <c r="H18" i="9" s="1"/>
  <c r="J17" i="9"/>
  <c r="D17" i="9"/>
  <c r="F17" i="9" s="1"/>
  <c r="G17" i="9" s="1"/>
  <c r="H17" i="9" s="1"/>
  <c r="J16" i="9"/>
  <c r="D16" i="9"/>
  <c r="I16" i="9" s="1"/>
  <c r="J15" i="9"/>
  <c r="F15" i="9"/>
  <c r="G15" i="9" s="1"/>
  <c r="H15" i="9" s="1"/>
  <c r="D15" i="9"/>
  <c r="I15" i="9" s="1"/>
  <c r="J14" i="9"/>
  <c r="D14" i="9"/>
  <c r="I14" i="9" s="1"/>
  <c r="J13" i="9"/>
  <c r="D13" i="9"/>
  <c r="F13" i="9" s="1"/>
  <c r="G13" i="9" s="1"/>
  <c r="H13" i="9" s="1"/>
  <c r="J12" i="9"/>
  <c r="I12" i="9"/>
  <c r="D12" i="9"/>
  <c r="F12" i="9" s="1"/>
  <c r="G12" i="9" s="1"/>
  <c r="H12" i="9" s="1"/>
  <c r="D11" i="9"/>
  <c r="F11" i="9" s="1"/>
  <c r="G11" i="9" s="1"/>
  <c r="H11" i="9" s="1"/>
  <c r="D10" i="9"/>
  <c r="F10" i="9" s="1"/>
  <c r="F15" i="8"/>
  <c r="H15" i="8" s="1"/>
  <c r="D15" i="8"/>
  <c r="E15" i="8" s="1"/>
  <c r="C15" i="8"/>
  <c r="D14" i="8"/>
  <c r="C14" i="8"/>
  <c r="E13" i="8"/>
  <c r="D13" i="8"/>
  <c r="D16" i="8" s="1"/>
  <c r="C13" i="8"/>
  <c r="F13" i="8" s="1"/>
  <c r="H13" i="8" s="1"/>
  <c r="G7" i="8"/>
  <c r="H7" i="8" s="1"/>
  <c r="I7" i="8" s="1"/>
  <c r="C7" i="8"/>
  <c r="B7" i="8"/>
  <c r="J37" i="7"/>
  <c r="E36" i="7"/>
  <c r="F36" i="7" s="1"/>
  <c r="D36" i="7"/>
  <c r="H36" i="7" s="1"/>
  <c r="L35" i="7"/>
  <c r="M35" i="7" s="1"/>
  <c r="E35" i="7"/>
  <c r="I35" i="7" s="1"/>
  <c r="D35" i="7"/>
  <c r="G35" i="7" s="1"/>
  <c r="L34" i="7"/>
  <c r="M34" i="7" s="1"/>
  <c r="E34" i="7"/>
  <c r="I34" i="7" s="1"/>
  <c r="D34" i="7"/>
  <c r="H34" i="7" s="1"/>
  <c r="E33" i="7"/>
  <c r="I33" i="7" s="1"/>
  <c r="D33" i="7"/>
  <c r="H33" i="7" s="1"/>
  <c r="G32" i="7"/>
  <c r="E32" i="7"/>
  <c r="I32" i="7" s="1"/>
  <c r="D32" i="7"/>
  <c r="H32" i="7" s="1"/>
  <c r="E31" i="7"/>
  <c r="I31" i="7" s="1"/>
  <c r="D31" i="7"/>
  <c r="L31" i="7" s="1"/>
  <c r="M31" i="7" s="1"/>
  <c r="I30" i="7"/>
  <c r="H30" i="7"/>
  <c r="G30" i="7"/>
  <c r="E30" i="7"/>
  <c r="D30" i="7"/>
  <c r="L30" i="7" s="1"/>
  <c r="M30" i="7" s="1"/>
  <c r="E29" i="7"/>
  <c r="I29" i="7" s="1"/>
  <c r="D29" i="7"/>
  <c r="L29" i="7" s="1"/>
  <c r="M29" i="7" s="1"/>
  <c r="E28" i="7"/>
  <c r="D28" i="7"/>
  <c r="G28" i="7" s="1"/>
  <c r="E27" i="7"/>
  <c r="I27" i="7" s="1"/>
  <c r="D27" i="7"/>
  <c r="G27" i="7" s="1"/>
  <c r="L26" i="7"/>
  <c r="M26" i="7" s="1"/>
  <c r="E26" i="7"/>
  <c r="I26" i="7" s="1"/>
  <c r="D26" i="7"/>
  <c r="H26" i="7" s="1"/>
  <c r="E25" i="7"/>
  <c r="E37" i="7" s="1"/>
  <c r="D25" i="7"/>
  <c r="D37" i="7" s="1"/>
  <c r="J305" i="6"/>
  <c r="I305" i="6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J11" i="9" s="1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305" i="6" s="1"/>
  <c r="D21" i="4"/>
  <c r="E21" i="4" s="1"/>
  <c r="C21" i="4"/>
  <c r="G20" i="4"/>
  <c r="F20" i="4"/>
  <c r="H20" i="4" s="1"/>
  <c r="E20" i="4"/>
  <c r="G19" i="4"/>
  <c r="F19" i="4"/>
  <c r="E19" i="4"/>
  <c r="H19" i="4" s="1"/>
  <c r="G18" i="4"/>
  <c r="F18" i="4"/>
  <c r="H18" i="4" s="1"/>
  <c r="E18" i="4"/>
  <c r="G17" i="4"/>
  <c r="F17" i="4"/>
  <c r="E17" i="4"/>
  <c r="H17" i="4" s="1"/>
  <c r="G16" i="4"/>
  <c r="F16" i="4"/>
  <c r="H16" i="4" s="1"/>
  <c r="E16" i="4"/>
  <c r="G15" i="4"/>
  <c r="F15" i="4"/>
  <c r="E15" i="4"/>
  <c r="H15" i="4" s="1"/>
  <c r="G14" i="4"/>
  <c r="F14" i="4"/>
  <c r="H14" i="4" s="1"/>
  <c r="E14" i="4"/>
  <c r="G13" i="4"/>
  <c r="F13" i="4"/>
  <c r="E13" i="4"/>
  <c r="H13" i="4" s="1"/>
  <c r="G12" i="4"/>
  <c r="F12" i="4"/>
  <c r="H12" i="4" s="1"/>
  <c r="E12" i="4"/>
  <c r="G11" i="4"/>
  <c r="F11" i="4"/>
  <c r="E11" i="4"/>
  <c r="H11" i="4" s="1"/>
  <c r="G10" i="4"/>
  <c r="F10" i="4"/>
  <c r="H10" i="4" s="1"/>
  <c r="E10" i="4"/>
  <c r="G9" i="4"/>
  <c r="G21" i="4" s="1"/>
  <c r="F9" i="4"/>
  <c r="F21" i="4" s="1"/>
  <c r="E9" i="4"/>
  <c r="H9" i="4" s="1"/>
  <c r="G14" i="3"/>
  <c r="D14" i="3"/>
  <c r="C14" i="3"/>
  <c r="J13" i="3"/>
  <c r="H13" i="3"/>
  <c r="I13" i="3" s="1"/>
  <c r="F13" i="3"/>
  <c r="E13" i="3"/>
  <c r="J12" i="3"/>
  <c r="H12" i="3"/>
  <c r="I12" i="3" s="1"/>
  <c r="E12" i="3"/>
  <c r="K13" i="3" s="1"/>
  <c r="J11" i="3"/>
  <c r="H11" i="3"/>
  <c r="I11" i="3" s="1"/>
  <c r="E11" i="3"/>
  <c r="F11" i="3" s="1"/>
  <c r="K10" i="3"/>
  <c r="J10" i="3"/>
  <c r="I10" i="3"/>
  <c r="H10" i="3"/>
  <c r="E10" i="3"/>
  <c r="K11" i="3" s="1"/>
  <c r="J9" i="3"/>
  <c r="H9" i="3"/>
  <c r="I9" i="3" s="1"/>
  <c r="F9" i="3"/>
  <c r="E9" i="3"/>
  <c r="H8" i="3"/>
  <c r="I8" i="3" s="1"/>
  <c r="E8" i="3"/>
  <c r="K9" i="3" s="1"/>
  <c r="L19" i="2"/>
  <c r="H19" i="2"/>
  <c r="I19" i="2" s="1"/>
  <c r="J19" i="2" s="1"/>
  <c r="G19" i="2"/>
  <c r="D19" i="2"/>
  <c r="E19" i="2" s="1"/>
  <c r="F19" i="2" s="1"/>
  <c r="C19" i="2"/>
  <c r="L18" i="2"/>
  <c r="K18" i="2"/>
  <c r="H18" i="2"/>
  <c r="I18" i="2" s="1"/>
  <c r="J18" i="2" s="1"/>
  <c r="F18" i="2"/>
  <c r="E18" i="2"/>
  <c r="M18" i="2" s="1"/>
  <c r="L17" i="2"/>
  <c r="K17" i="2"/>
  <c r="H17" i="2"/>
  <c r="I17" i="2" s="1"/>
  <c r="J17" i="2" s="1"/>
  <c r="F17" i="2"/>
  <c r="E17" i="2"/>
  <c r="M17" i="2" s="1"/>
  <c r="L16" i="2"/>
  <c r="K16" i="2"/>
  <c r="H16" i="2"/>
  <c r="I16" i="2" s="1"/>
  <c r="J16" i="2" s="1"/>
  <c r="F16" i="2"/>
  <c r="E16" i="2"/>
  <c r="M16" i="2" s="1"/>
  <c r="L15" i="2"/>
  <c r="K15" i="2"/>
  <c r="H15" i="2"/>
  <c r="I15" i="2" s="1"/>
  <c r="J15" i="2" s="1"/>
  <c r="F15" i="2"/>
  <c r="E15" i="2"/>
  <c r="M15" i="2" s="1"/>
  <c r="L14" i="2"/>
  <c r="K14" i="2"/>
  <c r="H14" i="2"/>
  <c r="I14" i="2" s="1"/>
  <c r="J14" i="2" s="1"/>
  <c r="F14" i="2"/>
  <c r="E14" i="2"/>
  <c r="M14" i="2" s="1"/>
  <c r="L13" i="2"/>
  <c r="K13" i="2"/>
  <c r="H13" i="2"/>
  <c r="I13" i="2" s="1"/>
  <c r="J13" i="2" s="1"/>
  <c r="F13" i="2"/>
  <c r="E13" i="2"/>
  <c r="M13" i="2" s="1"/>
  <c r="L12" i="2"/>
  <c r="K12" i="2"/>
  <c r="H12" i="2"/>
  <c r="I12" i="2" s="1"/>
  <c r="J12" i="2" s="1"/>
  <c r="F12" i="2"/>
  <c r="E12" i="2"/>
  <c r="M12" i="2" s="1"/>
  <c r="L11" i="2"/>
  <c r="K11" i="2"/>
  <c r="H11" i="2"/>
  <c r="I11" i="2" s="1"/>
  <c r="J11" i="2" s="1"/>
  <c r="F11" i="2"/>
  <c r="E11" i="2"/>
  <c r="M11" i="2" s="1"/>
  <c r="L10" i="2"/>
  <c r="K10" i="2"/>
  <c r="H10" i="2"/>
  <c r="I10" i="2" s="1"/>
  <c r="J10" i="2" s="1"/>
  <c r="F10" i="2"/>
  <c r="E10" i="2"/>
  <c r="M10" i="2" s="1"/>
  <c r="L9" i="2"/>
  <c r="K9" i="2"/>
  <c r="H9" i="2"/>
  <c r="I9" i="2" s="1"/>
  <c r="J9" i="2" s="1"/>
  <c r="F9" i="2"/>
  <c r="E9" i="2"/>
  <c r="M9" i="2" s="1"/>
  <c r="L8" i="2"/>
  <c r="K8" i="2"/>
  <c r="H8" i="2"/>
  <c r="I8" i="2" s="1"/>
  <c r="J8" i="2" s="1"/>
  <c r="F8" i="2"/>
  <c r="E8" i="2"/>
  <c r="M8" i="2" s="1"/>
  <c r="L7" i="2"/>
  <c r="K7" i="2"/>
  <c r="K19" i="2" s="1"/>
  <c r="H7" i="2"/>
  <c r="I7" i="2" s="1"/>
  <c r="J7" i="2" s="1"/>
  <c r="F7" i="2"/>
  <c r="E7" i="2"/>
  <c r="M7" i="2" s="1"/>
  <c r="I13" i="11" l="1"/>
  <c r="G22" i="11"/>
  <c r="H22" i="11" s="1"/>
  <c r="I17" i="11"/>
  <c r="L27" i="7"/>
  <c r="M27" i="7" s="1"/>
  <c r="H29" i="7"/>
  <c r="I11" i="11"/>
  <c r="F28" i="7"/>
  <c r="G31" i="7"/>
  <c r="I36" i="7"/>
  <c r="H28" i="7"/>
  <c r="H31" i="7"/>
  <c r="L36" i="7"/>
  <c r="M36" i="7" s="1"/>
  <c r="I15" i="11"/>
  <c r="F31" i="7"/>
  <c r="J31" i="7" s="1"/>
  <c r="I28" i="7"/>
  <c r="F19" i="9"/>
  <c r="G19" i="9" s="1"/>
  <c r="H19" i="9" s="1"/>
  <c r="L28" i="7"/>
  <c r="M28" i="7" s="1"/>
  <c r="I19" i="11"/>
  <c r="G10" i="9"/>
  <c r="H10" i="9" s="1"/>
  <c r="H11" i="10"/>
  <c r="J36" i="7"/>
  <c r="I11" i="9"/>
  <c r="F14" i="8"/>
  <c r="H14" i="8" s="1"/>
  <c r="H21" i="10"/>
  <c r="M19" i="2"/>
  <c r="I11" i="10"/>
  <c r="I12" i="10"/>
  <c r="I10" i="10"/>
  <c r="I19" i="10"/>
  <c r="H19" i="10"/>
  <c r="H21" i="4"/>
  <c r="F25" i="7"/>
  <c r="F10" i="3"/>
  <c r="K12" i="3"/>
  <c r="C16" i="8"/>
  <c r="I18" i="9"/>
  <c r="E14" i="3"/>
  <c r="F14" i="3" s="1"/>
  <c r="H27" i="7"/>
  <c r="F29" i="7"/>
  <c r="J29" i="7" s="1"/>
  <c r="L32" i="7"/>
  <c r="M32" i="7" s="1"/>
  <c r="H35" i="7"/>
  <c r="G36" i="7"/>
  <c r="D7" i="8"/>
  <c r="E7" i="8" s="1"/>
  <c r="J10" i="9"/>
  <c r="J22" i="9" s="1"/>
  <c r="F16" i="9"/>
  <c r="G16" i="9" s="1"/>
  <c r="H16" i="9" s="1"/>
  <c r="F20" i="9"/>
  <c r="G20" i="9" s="1"/>
  <c r="H20" i="9" s="1"/>
  <c r="G17" i="10"/>
  <c r="G23" i="10" s="1"/>
  <c r="G21" i="11"/>
  <c r="H21" i="11" s="1"/>
  <c r="H14" i="3"/>
  <c r="I14" i="3" s="1"/>
  <c r="F32" i="7"/>
  <c r="J32" i="7" s="1"/>
  <c r="L25" i="7"/>
  <c r="G29" i="7"/>
  <c r="F30" i="7"/>
  <c r="J30" i="7" s="1"/>
  <c r="L33" i="7"/>
  <c r="M33" i="7" s="1"/>
  <c r="I13" i="9"/>
  <c r="I17" i="9"/>
  <c r="I21" i="9"/>
  <c r="H17" i="10"/>
  <c r="H23" i="10" s="1"/>
  <c r="F20" i="10"/>
  <c r="H20" i="10" s="1"/>
  <c r="H11" i="11"/>
  <c r="H17" i="11"/>
  <c r="E23" i="10"/>
  <c r="D22" i="9"/>
  <c r="G26" i="11"/>
  <c r="F12" i="3"/>
  <c r="F33" i="7"/>
  <c r="J33" i="7" s="1"/>
  <c r="F14" i="9"/>
  <c r="G14" i="9" s="1"/>
  <c r="H14" i="9" s="1"/>
  <c r="E10" i="10"/>
  <c r="F11" i="10"/>
  <c r="G11" i="10" s="1"/>
  <c r="G20" i="11"/>
  <c r="G23" i="11" s="1"/>
  <c r="F8" i="3"/>
  <c r="G25" i="7"/>
  <c r="F26" i="7"/>
  <c r="J26" i="7" s="1"/>
  <c r="G33" i="7"/>
  <c r="F34" i="7"/>
  <c r="J34" i="7" s="1"/>
  <c r="E14" i="8"/>
  <c r="E16" i="8" s="1"/>
  <c r="F10" i="10"/>
  <c r="F13" i="10" s="1"/>
  <c r="F18" i="10"/>
  <c r="H18" i="10" s="1"/>
  <c r="F22" i="10"/>
  <c r="H22" i="10" s="1"/>
  <c r="H12" i="11"/>
  <c r="H14" i="11"/>
  <c r="H16" i="11"/>
  <c r="H18" i="11"/>
  <c r="H25" i="7"/>
  <c r="F27" i="7"/>
  <c r="G34" i="7"/>
  <c r="F35" i="7"/>
  <c r="I25" i="7"/>
  <c r="H10" i="10"/>
  <c r="J28" i="7" l="1"/>
  <c r="H37" i="7"/>
  <c r="J35" i="7"/>
  <c r="J27" i="7"/>
  <c r="I10" i="9"/>
  <c r="G15" i="8"/>
  <c r="F16" i="8"/>
  <c r="G13" i="8"/>
  <c r="G14" i="8"/>
  <c r="I22" i="9"/>
  <c r="I22" i="10"/>
  <c r="F23" i="10"/>
  <c r="I23" i="10" s="1"/>
  <c r="H20" i="11"/>
  <c r="H23" i="11" s="1"/>
  <c r="G27" i="11"/>
  <c r="I18" i="10"/>
  <c r="G26" i="7"/>
  <c r="F37" i="7"/>
  <c r="G37" i="7" s="1"/>
  <c r="J25" i="7"/>
  <c r="I20" i="10"/>
  <c r="G10" i="10"/>
  <c r="G13" i="10" s="1"/>
  <c r="E13" i="10"/>
  <c r="H13" i="10" s="1"/>
  <c r="K37" i="7"/>
  <c r="M25" i="7"/>
  <c r="F22" i="9"/>
  <c r="G22" i="9" s="1"/>
  <c r="I37" i="7" l="1"/>
</calcChain>
</file>

<file path=xl/sharedStrings.xml><?xml version="1.0" encoding="utf-8"?>
<sst xmlns="http://schemas.openxmlformats.org/spreadsheetml/2006/main" count="1793" uniqueCount="459">
  <si>
    <t>MONATSABSCHLUSS-CHECKLISTE / MONTHLY CLOSING CHECKLIST</t>
  </si>
  <si>
    <t>RetailCo Financial Analysis  |  Bike Sales 2011–2016</t>
  </si>
  <si>
    <t>Berichtsperiode / Reporting Period:</t>
  </si>
  <si>
    <t>2015-12</t>
  </si>
  <si>
    <t>← Hier Periode eingeben / Enter period here</t>
  </si>
  <si>
    <t>#</t>
  </si>
  <si>
    <t>Aufgabe (DE) / Task (EN)</t>
  </si>
  <si>
    <t>Beschreibung / Description</t>
  </si>
  <si>
    <t>Verantw. / Responsible</t>
  </si>
  <si>
    <t>Fällig / Due</t>
  </si>
  <si>
    <t>Herkunft / Data Source</t>
  </si>
  <si>
    <t>Status</t>
  </si>
  <si>
    <t>Kommentar / Comment</t>
  </si>
  <si>
    <t>Rohdaten prüfen
Verify raw data</t>
  </si>
  <si>
    <t>Vollständigkeit &amp; Qualität der Transaktionsdaten /
Completeness &amp; quality of transaction data</t>
  </si>
  <si>
    <t>Buchhalter /
Accountant</t>
  </si>
  <si>
    <t>WD-3</t>
  </si>
  <si>
    <t>bike_sales_clean.csv
(Modul 0 Output)</t>
  </si>
  <si>
    <t>Umsatzabstimmung
Revenue reconciliation</t>
  </si>
  <si>
    <t>Summe aller Transaktionen = aggregierter Monatsumsatz;
prüfen ob tx_revenue == agg_revenue (Δ = 0)</t>
  </si>
  <si>
    <t>WD-2</t>
  </si>
  <si>
    <t>df['revenue'].sum()
vs. monthly['Umsatz_Ist'].sum()</t>
  </si>
  <si>
    <t>Kostenabstimmung
Cost reconciliation</t>
  </si>
  <si>
    <t>COGS Transaktionen vs. Hauptbuch;
df['cost'].sum() == monthly['Kosten_Ist'].sum()</t>
  </si>
  <si>
    <t>df['cost'].sum()
vs. monthly['Kosten_Ist'].sum()</t>
  </si>
  <si>
    <t>Rechnungsabgrenzung
Accruals posting</t>
  </si>
  <si>
    <t>ARAP = 5% × Umsatz_Ist (aktive Abgrenzung / prepaid)
PRAP = 3% × Kosten_Ist (passive Abgrenzung / deferred)
Ergebnis_bereinigt = Ergebnis – ARAP + PRAP</t>
  </si>
  <si>
    <t>WD-1</t>
  </si>
  <si>
    <t>Modul 1 Zelle:
ARAP_RATE=0.05
PRAP_RATE=0.03</t>
  </si>
  <si>
    <t>Plan-Ist-Abgleich
Budget vs. Actual</t>
  </si>
  <si>
    <t>Abweichung % = (Ist − Plan) / Plan × 100
Materialitätsschwelle: ≥5% → Kommentarpflicht
RAG: Grün ≥3%, Amber −3%..+3%, Rot &lt;−3%</t>
  </si>
  <si>
    <t>Controller</t>
  </si>
  <si>
    <t>monthly['Umsatz_Abw_pct']
= (Ist−Plan)/Plan×100</t>
  </si>
  <si>
    <t>GuV erstellen
Prepare P&amp;L</t>
  </si>
  <si>
    <t>Monatliche GuV im Format:
Umsatz − COGS = Bruttoergebnis
Bruttomarge % = Bruttoergebnis / Umsatz</t>
  </si>
  <si>
    <t>Sheet 'Monthly P&amp;L'
dieses Workbooks</t>
  </si>
  <si>
    <t>Management Review</t>
  </si>
  <si>
    <t>Freigabe durch CFO / Sign-off by CFO
Prüfung Abweichungskommentare und RAG-Status</t>
  </si>
  <si>
    <t>CFO /
Leitung</t>
  </si>
  <si>
    <t>WD 0</t>
  </si>
  <si>
    <t>Abweichungskommentare
aus Modul 1 Zelle 6</t>
  </si>
  <si>
    <t>Bericht versenden
Distribute report</t>
  </si>
  <si>
    <t>Management Summary an Stakeholder /
Send summary to stakeholders</t>
  </si>
  <si>
    <t>management_summary
_DE/EN.pdf</t>
  </si>
  <si>
    <t>Archivierung
Archive</t>
  </si>
  <si>
    <t>Alle Belege &amp; Reports ins Archiv /
All documents &amp; reports to archive</t>
  </si>
  <si>
    <t>WD+1</t>
  </si>
  <si>
    <t>closing_checklist.xlsx
+ alle Outputs</t>
  </si>
  <si>
    <t>Legende / Legend:   ✅ Erledigt/Done   🔄 In Bearbeitung/In Progress   ⏳ Pending/Ausstehend   ❌ Offen/Open     |     WD = Arbeitstag / Working Day  (WD-3 = 3 Tage vor Abschluss / 3 days before closing)     |     Herkunft = Datenquelle/Formel aus Notebook / Data source &amp; formula from Notebook</t>
  </si>
  <si>
    <t>MONATLICHE GEWINN- UND VERLUSTRECHNUNG / MONTHLY PROFIT &amp; LOSS STATEMENT</t>
  </si>
  <si>
    <t>RetailCo Financial Analysis  |  Bike Sales 2011–2016  |  Alle Beträge in USD / All amounts in USD</t>
  </si>
  <si>
    <t>Formeln: GP=Umsatz−COGS | Marge%=GP/Umsatz | Abw.abs=Ist−Plan | Abw.%=Abw.abs/Plan | ARAP=Umsatz×5% | PRAP=COGS×3% | Berein.Erg=GP−ARAP+PRAP | RAG: 🟢≥+3% 🟡±3% 🔴&lt;-3%  → Details siehe Sheet '📖 Legende &amp; Formeln'</t>
  </si>
  <si>
    <t>Farbcode: 🔵 Blau = Eingabe aus Rohdaten/CSV  |  🟢 Grün = Excel-Formel  |  🟡 Gelb = Summenzeile  |  Datenquelle: bike_sales_clean.csv via Modul 1 Notebook</t>
  </si>
  <si>
    <t>GJ/FY</t>
  </si>
  <si>
    <t>Periode/Period</t>
  </si>
  <si>
    <t>Umsatz_Ist
(Revenue)</t>
  </si>
  <si>
    <t>COGS_Ist
(Costs)</t>
  </si>
  <si>
    <t>Bruttoerg.
(Gross Profit)</t>
  </si>
  <si>
    <t>Brutto-
marge %</t>
  </si>
  <si>
    <t>Plan
(Budget)</t>
  </si>
  <si>
    <t>Abw.abs
(Var.abs)</t>
  </si>
  <si>
    <t>Abw.%
(Var.%)</t>
  </si>
  <si>
    <t>RAG</t>
  </si>
  <si>
    <t>ARAP
(5% Umsatz)</t>
  </si>
  <si>
    <t>PRAP
(3% COGS)</t>
  </si>
  <si>
    <t>Erg.bereinigt
(Adj.Result)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</si>
  <si>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</si>
  <si>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</si>
  <si>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</si>
  <si>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</si>
  <si>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</si>
  <si>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</si>
  <si>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</si>
  <si>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</si>
  <si>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</si>
  <si>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</si>
  <si>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</si>
  <si>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GESAMT 2015 / TOTAL 2015</t>
  </si>
  <si>
    <t>Farbcode / Color Code:   🔵 Blau = Hardcodierte Eingaben (aus Rohdaten/Notebook) / Blue = Hardcoded inputs from raw data   🟢 Grün = Formeln (innerhalb dieses Sheets) / Green = Formulas within sheet   🟡 Gelb = Summenzeilen / Yellow = Total rows   |   ARAP = Aktive Rechnungsabgrenzung (Prepaid)   PRAP = Passive Rechnungsabgrenzung (Deferred)</t>
  </si>
  <si>
    <t>JAHRESABSCHLUSS / ANNUAL CLOSING STATEMENT — RetailCo 2011–2016</t>
  </si>
  <si>
    <t>Bruttomarge = Bruttoergebnis / Umsatz  |  Wachstum = YoY-Veränderung  |  Alle Beträge in USD</t>
  </si>
  <si>
    <t>FORMELN / FORMULAS</t>
  </si>
  <si>
    <t>Bruttoergebnis / GP</t>
  </si>
  <si>
    <t>Formel: =umsatz − COGS  →  =C{r}−D{r}</t>
  </si>
  <si>
    <t>Bruttomarge %</t>
  </si>
  <si>
    <t>Formel: =bruttoergebnis / umsatz  →  =E{r}/C{r}</t>
  </si>
  <si>
    <t>Umsatz-Plan-Abw.abs</t>
  </si>
  <si>
    <t>Formel: =umsatz_ist − Budget  →  =C{r}−G{r}</t>
  </si>
  <si>
    <t>Umsatz-Plan-Abw.%</t>
  </si>
  <si>
    <t>Formel: =(ist−Plan)/Plan  →  =H{r}/G{r})</t>
  </si>
  <si>
    <t>YoY Wachstum Umsatz</t>
  </si>
  <si>
    <t xml:space="preserve"> =(umsatz_t − Umsatz_{t-1}) / Umsatz_{t-1}  →  =(C{r}−C{r-1})/C{r-1}))</t>
  </si>
  <si>
    <t>YoY Wachstum Ergebnis</t>
  </si>
  <si>
    <t xml:space="preserve"> =analog zu umsatz-wachstum  →  =(E{r}−E{r-1})/E{r-1}</t>
  </si>
  <si>
    <t>Umsatz
(Revenue)</t>
  </si>
  <si>
    <t>COGS
(Costs)</t>
  </si>
  <si>
    <t>Bruttoergebnis
(Gross Profit)</t>
  </si>
  <si>
    <t>Plan-Abw.abs
(Var.abs)</t>
  </si>
  <si>
    <t>Plan-Abw.%
(Var.%)</t>
  </si>
  <si>
    <t>YoY Umsatz
Wachstum %</t>
  </si>
  <si>
    <t>YoY Ergebnis
Wachstum %</t>
  </si>
  <si>
    <t>Basisjahr / Base</t>
  </si>
  <si>
    <t>GESAMT / TOTAL</t>
  </si>
  <si>
    <t>—</t>
  </si>
  <si>
    <t>RECHNUNGSABGRENZUNGSPOSTEN / ACCRUALS &amp; DEFERRALS — 2015</t>
  </si>
  <si>
    <t>WAS IST RECHNUNGSABGRENZUNG? / WHAT IS ACCRUAL ACCOUNTING?</t>
  </si>
  <si>
    <t>DE: Rechnungsabgrenzungsposten stellen sicher, dass Erträge und Aufwendungen der richtigen Periode zugeordnet werden (Periodenabgrenzungsprinzip nach HGB/IFRS). Einnahmen oder Ausgaben, die periodenübergreifend wirken, werden aufgeteilt.</t>
  </si>
  <si>
    <t>EN: Accruals ensure revenues and expenses are recorded in the period they occur, not when cash changes hands (matching principle). This creates a more accurate picture of financial performance.</t>
  </si>
  <si>
    <t>ANNAHMEN / ASSUMPTIONS (Eingabe / Input)</t>
  </si>
  <si>
    <t>ARAP-Rate (Prepaid Revenue):</t>
  </si>
  <si>
    <t>5% des Umsatzes wird im Folgemonat fakturiert / 5% of revenue billed next month → Aktive Rechnungsabgrenzung (ARAP) / Asset on balance sheet</t>
  </si>
  <si>
    <t>PRAP-Rate (Deferred Cost):</t>
  </si>
  <si>
    <t>3% der Kosten betreffen Folgeperiode / 3% of costs belong to next period → Passive Rechnungsabgrenzung (PRAP) / Liability on balance sheet</t>
  </si>
  <si>
    <t>Periode
/Period</t>
  </si>
  <si>
    <t>Ergebnis_Ist
(Gross Profit)</t>
  </si>
  <si>
    <t>ARAP
=Umsatz×B7</t>
  </si>
  <si>
    <t>PRAP
=COGS×G7</t>
  </si>
  <si>
    <t>Ergebnis_bereinigt
=GP−ARAP+PRAP</t>
  </si>
  <si>
    <t>ARAP-Erläuterung
/Explanation</t>
  </si>
  <si>
    <t>PRAP-Erläuterung
/Explanation</t>
  </si>
  <si>
    <t>ARAP = 666,938 × 5% = Umsatz wird im Folgemonat fakturiert / revenue billed next month → Aktivseite Bilanz / Balance sheet asset</t>
  </si>
  <si>
    <t>PRAP = 447,744 × 3% = Kosten betreffen Folgeperiode / costs belong to next period → Passivseite Bilanz / Balance sheet liability</t>
  </si>
  <si>
    <t>ARAP = 679,246 × 5% = Umsatz wird im Folgemonat fakturiert / revenue billed next month → Aktivseite Bilanz / Balance sheet asset</t>
  </si>
  <si>
    <t>PRAP = 458,635 × 3% = Kosten betreffen Folgeperiode / costs belong to next period → Passivseite Bilanz / Balance sheet liability</t>
  </si>
  <si>
    <t>ARAP = 714,008 × 5% = Umsatz wird im Folgemonat fakturiert / revenue billed next month → Aktivseite Bilanz / Balance sheet asset</t>
  </si>
  <si>
    <t>PRAP = 477,922 × 3% = Kosten betreffen Folgeperiode / costs belong to next period → Passivseite Bilanz / Balance sheet liability</t>
  </si>
  <si>
    <t>ARAP = 734,608 × 5% = Umsatz wird im Folgemonat fakturiert / revenue billed next month → Aktivseite Bilanz / Balance sheet asset</t>
  </si>
  <si>
    <t>PRAP = 497,020 × 3% = Kosten betreffen Folgeperiode / costs belong to next period → Passivseite Bilanz / Balance sheet liability</t>
  </si>
  <si>
    <t>ARAP = 895,043 × 5% = Umsatz wird im Folgemonat fakturiert / revenue billed next month → Aktivseite Bilanz / Balance sheet asset</t>
  </si>
  <si>
    <t>PRAP = 597,749 × 3% = Kosten betreffen Folgeperiode / costs belong to next period → Passivseite Bilanz / Balance sheet liability</t>
  </si>
  <si>
    <t>ARAP = 786,480 × 5% = Umsatz wird im Folgemonat fakturiert / revenue billed next month → Aktivseite Bilanz / Balance sheet asset</t>
  </si>
  <si>
    <t>PRAP = 527,616 × 3% = Kosten betreffen Folgeperiode / costs belong to next period → Passivseite Bilanz / Balance sheet liability</t>
  </si>
  <si>
    <t>ARAP = 1,728,398 × 5% = Umsatz wird im Folgemonat fakturiert / revenue billed next month → Aktivseite Bilanz / Balance sheet asset</t>
  </si>
  <si>
    <t>PRAP = 1,118,446 × 3% = Kosten betreffen Folgeperiode / costs belong to next period → Passivseite Bilanz / Balance sheet liability</t>
  </si>
  <si>
    <t>ARAP = 2,140,581 × 5% = Umsatz wird im Folgemonat fakturiert / revenue billed next month → Aktivseite Bilanz / Balance sheet asset</t>
  </si>
  <si>
    <t>PRAP = 1,264,046 × 3% = Kosten betreffen Folgeperiode / costs belong to next period → Passivseite Bilanz / Balance sheet liability</t>
  </si>
  <si>
    <t>ARAP = 2,465,172 × 5% = Umsatz wird im Folgemonat fakturiert / revenue billed next month → Aktivseite Bilanz / Balance sheet asset</t>
  </si>
  <si>
    <t>PRAP = 1,478,781 × 3% = Kosten betreffen Folgeperiode / costs belong to next period → Passivseite Bilanz / Balance sheet liability</t>
  </si>
  <si>
    <t>ARAP = 2,529,084 × 5% = Umsatz wird im Folgemonat fakturiert / revenue billed next month → Aktivseite Bilanz / Balance sheet asset</t>
  </si>
  <si>
    <t>PRAP = 1,528,465 × 3% = Kosten betreffen Folgeperiode / costs belong to next period → Passivseite Bilanz / Balance sheet liability</t>
  </si>
  <si>
    <t>ARAP = 2,836,222 × 5% = Umsatz wird im Folgemonat fakturiert / revenue billed next month → Aktivseite Bilanz / Balance sheet asset</t>
  </si>
  <si>
    <t>PRAP = 1,730,335 × 3% = Kosten betreffen Folgeperiode / costs belong to next period → Passivseite Bilanz / Balance sheet liability</t>
  </si>
  <si>
    <t>ARAP = 3,848,211 × 5% = Umsatz wird im Folgemonat fakturiert / revenue billed next month → Aktivseite Bilanz / Balance sheet asset</t>
  </si>
  <si>
    <t>PRAP = 2,368,669 × 3% = Kosten betreffen Folgeperiode / costs belong to next period → Passivseite Bilanz / Balance sheet liability</t>
  </si>
  <si>
    <t>GESAMT / TOTAL 2015</t>
  </si>
  <si>
    <t>BUCHUNGSSÄTZE / ACCOUNTING ENTRIES (Simulation / HGB-Logik)</t>
  </si>
  <si>
    <t>ARAP (Aktiv)</t>
  </si>
  <si>
    <t>Soll / Debit</t>
  </si>
  <si>
    <t>Aktive Rechnungsabgrenzung (ARAP)</t>
  </si>
  <si>
    <t>an / Credit</t>
  </si>
  <si>
    <t>Umsatzerlöse</t>
  </si>
  <si>
    <t>Formel: =5% des umsatzes wird auf die nächste periode verschoben. ergebnis sinkt / revenue deferred to next period → profit decreases</t>
  </si>
  <si>
    <t>PRAP (Passiv)</t>
  </si>
  <si>
    <t>Aufwand (COGS)</t>
  </si>
  <si>
    <t>Passive Rechnungsabgrenzung (PRAP)</t>
  </si>
  <si>
    <t>Formel: =3% der kosten betreffen die nächste periode. aufwand dieser periode sinkt / cost deferred → current period expense decreases</t>
  </si>
  <si>
    <t>LEGENDE, FARBCODES &amp; FORMELREFERENZ / LEGEND, COLOR CODES &amp; FORMULA REFERENCE</t>
  </si>
  <si>
    <t>FARBCODES / COLOR CODES</t>
  </si>
  <si>
    <t>🔵 Blau / Blue text</t>
  </si>
  <si>
    <t>Hardcodierte Eingaben aus Rohdaten (CSV) oder Notebook / Hardcoded inputs from raw data or notebook</t>
  </si>
  <si>
    <t>🟢 Grüner Text / Green text</t>
  </si>
  <si>
    <t>Formeln, die innerhalb des gleichen Sheets berechnet werden / Formulas calculated within same sheet</t>
  </si>
  <si>
    <t>🔴 Roter Text / Red text</t>
  </si>
  <si>
    <t>Externe Verknüpfungen (andere Dateien) / External links to other files</t>
  </si>
  <si>
    <t>🟡 Gelber Hintergrund / Yellow bg</t>
  </si>
  <si>
    <t>Summenzeilen und Ergebniszellen / Total rows and result cells</t>
  </si>
  <si>
    <t>🔵 Hellblauer Hintergrund / Light blue bg</t>
  </si>
  <si>
    <t>Eingabezellen (änderbar) / Input cells (editable)</t>
  </si>
  <si>
    <t>⬜ Weiß / White bg</t>
  </si>
  <si>
    <t>Formelzellen / Formula cells</t>
  </si>
  <si>
    <t>🩶 Grau / Grey bg</t>
  </si>
  <si>
    <t>Alternierende Datenzeilen / Alternating data rows</t>
  </si>
  <si>
    <t>ABKÜRZUNGEN / ABBREVIATIONS</t>
  </si>
  <si>
    <t>GuV / P&amp;L</t>
  </si>
  <si>
    <t>Gewinn- und Verlustrechnung / Profit &amp; Loss Statement</t>
  </si>
  <si>
    <t>COGS</t>
  </si>
  <si>
    <t>Cost of Goods Sold = Umsatzkosten / Cost of revenue</t>
  </si>
  <si>
    <t>GP / Bruttoergebnis</t>
  </si>
  <si>
    <t>Gross Profit = Umsatz − COGS</t>
  </si>
  <si>
    <t>GM% / Bruttomarge %</t>
  </si>
  <si>
    <t>Gross Margin % = GP / Umsatz (Revenue)</t>
  </si>
  <si>
    <t>ARAP</t>
  </si>
  <si>
    <t>Aktive Rechnungsabgrenzung / Prepaid revenue (asset): 5% × Umsatz</t>
  </si>
  <si>
    <t>PRAP</t>
  </si>
  <si>
    <t>Passive Rechnungsabgrenzung / Deferred cost (liability): 3% × COGS</t>
  </si>
  <si>
    <t>Abw. / Var.</t>
  </si>
  <si>
    <t>Abweichung / Variance = Ist − Plan</t>
  </si>
  <si>
    <t>Red-Amber-Green Status: Rot &lt;−3% | Amber ±3% | Grün &gt;+3%</t>
  </si>
  <si>
    <t>WD</t>
  </si>
  <si>
    <t>Working Day / Arbeitstag (WD-3 = 3 Tage vor Abschluss)</t>
  </si>
  <si>
    <t>YoY</t>
  </si>
  <si>
    <t>Year over Year = Jahresvergleich</t>
  </si>
  <si>
    <t>GJ / FY</t>
  </si>
  <si>
    <t>Geschäftsjahr / Fiscal Year</t>
  </si>
  <si>
    <t>SCHLÜSSELFORMELN / KEY FORMULAS</t>
  </si>
  <si>
    <t>Bruttoergebnis / Gross Profit</t>
  </si>
  <si>
    <t>Formel: =umsatz_ist − COGS_Ist  |  =C{r}−D{r}</t>
  </si>
  <si>
    <t>Bruttomarge % / Gross Margin</t>
  </si>
  <si>
    <t>Formel: =gp / umsatz  |  =e{r}/c{r}  |  format: 0%</t>
  </si>
  <si>
    <t>Abweichung absolut / Var.abs</t>
  </si>
  <si>
    <t>Formel: =ist − Plan  |  =C{r}−G{r}  |  Positiv = über Plan</t>
  </si>
  <si>
    <t>Abweichung % / Var.%</t>
  </si>
  <si>
    <t>Formel: =(ist − Plan) / Plan  |  =H{r}/G{r}  |  Format: 0.0%)</t>
  </si>
  <si>
    <t>Formel: =ROUND(umsatz × $B$7, 0)  |  Rate in Annahmen-Zelle / rate in assumption cell,0)</t>
  </si>
  <si>
    <t>Formel: =ROUND(cogs × $G$7, 0)  |  Rate in Annahmen-Zelle / rate in assumption cell,0)</t>
  </si>
  <si>
    <t>Bereinigtes Ergebnis / Adj.Result</t>
  </si>
  <si>
    <t>Formel: =gp − ARAP + PRAP  |  =E{r}−F{r}+G{r}</t>
  </si>
  <si>
    <t>RAG Status</t>
  </si>
  <si>
    <t>Formel: =IF(var%&gt;=3%,"🟢",IF(var%&gt;=-3%,"🟡","🔴"))</t>
  </si>
  <si>
    <t>YoY Wachstum / YoY Growth</t>
  </si>
  <si>
    <t>Formel: =(wert_t − Wert_{t-1}) / Wert_{t-1}  |  =(C{r}−C{r-1})/C{r-1})</t>
  </si>
  <si>
    <t>Jahressumme / Annual Sum</t>
  </si>
  <si>
    <t>Formel: =SUM(monatszeilen) / =SUM(monthly rows)</t>
  </si>
  <si>
    <t>DATENQUELLEN / DATA SOURCES</t>
  </si>
  <si>
    <t>bike_sales_clean.csv</t>
  </si>
  <si>
    <t>Vorbereitete Rohdaten aus Modul 0 / Prepared raw data from Module 0</t>
  </si>
  <si>
    <t>revenue / Umsatz_Ist</t>
  </si>
  <si>
    <t>df['revenue'] — tatsächliche Verkaufserlöse pro Transaktion</t>
  </si>
  <si>
    <t>cost / COGS_Ist</t>
  </si>
  <si>
    <t>df['cost'] — tatsächliche Kosten pro Transaktion</t>
  </si>
  <si>
    <t>profit / Ergebnis_Ist</t>
  </si>
  <si>
    <t>df['profit'] = revenue − cost (berechnet in Rohdaten)</t>
  </si>
  <si>
    <t>revenue_plan / Plan</t>
  </si>
  <si>
    <t>df['revenue_plan'] — Planwerte aus Rohdaten</t>
  </si>
  <si>
    <t>fiscal_year / GJ</t>
  </si>
  <si>
    <t>df['fiscal_year'] — Geschäftsjahr (Kalender = Geschäftsjahr)</t>
  </si>
  <si>
    <t>year_month / Periode</t>
  </si>
  <si>
    <t>df['date'].dt.to_period('M') — z.B. 2015-01</t>
  </si>
  <si>
    <t>Aggregation</t>
  </si>
  <si>
    <t>df.groupby(['fiscal_year','year_month']).agg({'revenue':'sum', ...})</t>
  </si>
  <si>
    <t>🗃️ ROHDATEN (STICHPROBE) / RAW DATA (SAMPLE) — 2015 | 300 Transaktionen</t>
  </si>
  <si>
    <t>DE: Jede Zeile = 1 Transaktion aus dem Datensatz. Profit = Excel-Formel (Revenue−Cost).  |  EN: Each row = 1 transaction. Profit = Excel formula (Revenue−Cost).</t>
  </si>
  <si>
    <t>Datum/Date</t>
  </si>
  <si>
    <t>Land EN/Country</t>
  </si>
  <si>
    <t>Land DE</t>
  </si>
  <si>
    <t>Kategorie/Category</t>
  </si>
  <si>
    <t>Unterkategorie/Subcat.</t>
  </si>
  <si>
    <t>Menge/Qty</t>
  </si>
  <si>
    <t>Stückkosten/Unit Cost</t>
  </si>
  <si>
    <t>Stückpreis/Unit Price</t>
  </si>
  <si>
    <t>Kosten/COGS</t>
  </si>
  <si>
    <t>Umsatz/Revenue</t>
  </si>
  <si>
    <t>Gewinn/Profit</t>
  </si>
  <si>
    <t>United States</t>
  </si>
  <si>
    <t>Vereinigte Staaten</t>
  </si>
  <si>
    <t>Bikes</t>
  </si>
  <si>
    <t>Road Bikes</t>
  </si>
  <si>
    <t>Germany</t>
  </si>
  <si>
    <t>Deutschland</t>
  </si>
  <si>
    <t>Mountain Bikes</t>
  </si>
  <si>
    <t>Australia</t>
  </si>
  <si>
    <t>Australien</t>
  </si>
  <si>
    <t>France</t>
  </si>
  <si>
    <t>Frankreich</t>
  </si>
  <si>
    <t>United Kingdom</t>
  </si>
  <si>
    <t>Vereinigtes Königreich</t>
  </si>
  <si>
    <t>Canada</t>
  </si>
  <si>
    <t>Kanada</t>
  </si>
  <si>
    <t>SUMME (300 Transaktionen) / TOTAL</t>
  </si>
  <si>
    <t>ℹ️ Stichprobe: 300 von 20.178 Transaktionen (2015). Python verarbeitet alle 113.036 Zeilen. Das nächste Sheet zeigt dieselben Berechnungen mit Excel-SUMIFS-Formeln. / Sample: 300 of 20,178 transactions (2015). Python processes all 113,036 rows. Next sheet shows the same calculations using Excel SUMIFS formulas.</t>
  </si>
  <si>
    <t>🧮 EXCEL-BERECHNUNGEN / EXCEL CALCULATIONS — Python vs. Excel Vergleich / Comparison</t>
  </si>
  <si>
    <t>DE: Alle Berechnungen direkt in Excel mit SUMIFS — kein Python nötig. SUMIFS = summiert Werte wenn mehrere Bedingungen zutreffen (Monat + Jahr).  |  EN: All calculations done in Excel using SUMIFS — no Python needed. SUMIFS = sums values when multiple conditions are met (month + year).</t>
  </si>
  <si>
    <t>① ANNAHMEN / ASSUMPTIONS — Gelbe Zellen änderbar / Yellow cells are editable inputs</t>
  </si>
  <si>
    <t>Filtert alle SUMIFS-Formeln / Filters all SUMIFS formulas</t>
  </si>
  <si>
    <t>ARAP-Rate (Aktive Rechnungsabgr.)</t>
  </si>
  <si>
    <t>5% Umsatz → Aktiver Rechnungsabgrenzungsposten / 5% revenue → prepaid asset</t>
  </si>
  <si>
    <t>PRAP-Rate (Passive Rechnungsabgr.)</t>
  </si>
  <si>
    <t>3% Kosten → Passiver Rechnungsabgrenzungsposten / 3% cost → deferred liability</t>
  </si>
  <si>
    <t>Materialitätsschwelle / Materiality</t>
  </si>
  <si>
    <t>Abw. ≥5% → Kommentarpflicht im Abschluss / Variance ≥5% → commentary required</t>
  </si>
  <si>
    <t>RAG Grün-Schwelle / Green threshold</t>
  </si>
  <si>
    <t>≥+3% Abweichung = 🟢 Grün/Green — über Plan / above budget</t>
  </si>
  <si>
    <t>RAG Rot-Schwelle / Red threshold</t>
  </si>
  <si>
    <t>≤−3% Abweichung = 🔴 Rot/Red — unter Plan / below budget</t>
  </si>
  <si>
    <t>② FORMELERKLÄRUNG / FORMULA EXPLANATION — 🟢 Grün = Formel / Green = formula  |  🔵 Blau = Eingabe / Blue = input</t>
  </si>
  <si>
    <t>SUMIFS — Umsatz/Revenue</t>
  </si>
  <si>
    <t>Beispiel / Example:  SUMIFS(Revenue-Spalte, Datum-Spalte, "&gt;="&amp;Monatsanfang, Datum-Spalte, "&lt;"&amp;Monatsende)</t>
  </si>
  <si>
    <t>DE: Summiert Revenue (Spalte J) wo Datum ≥ Monatsanfang UND &lt; nächster Monatsanfang.
EN: Sums Revenue (col J) where date ≥ month start AND &lt; next month start. SUMIFS = SUMMEWENNS auf Deutsch.</t>
  </si>
  <si>
    <t>Beispiel / Example:  Umsatz − Kosten  →  =D25-E25</t>
  </si>
  <si>
    <t>DE: Umsatz (D) minus Kosten (E) = Bruttoergebnis. Direkte Subtraktion.
EN: Revenue (D) minus COGS (E) = Gross Profit. Direct subtraction.</t>
  </si>
  <si>
    <t>Bruttomarge % / Gross Margin %</t>
  </si>
  <si>
    <t>Beispiel / Example:  WENN/IF(Umsatz&gt;0, Bruttoergebnis/Umsatz, 0)  →  =IF(D25&gt;0,F25/D25,0)</t>
  </si>
  <si>
    <t>DE: Bruttoergebnis / Umsatz. IF schützt vor Division durch Null.
EN: Gross Profit / Revenue. IF protects against division by zero.</t>
  </si>
  <si>
    <t>ARAP (Aktive Rechnungsabgrenzung)</t>
  </si>
  <si>
    <t>Beispiel / Example:  RUNDEN/ROUND(Umsatz × ARAP-Rate, 0)  →  =ROUND(D25*$C$6,0)</t>
  </si>
  <si>
    <t>DE: 5% des Umsatzes (Rate aus Annahmen-Zelle C6 — absoluter Bezug mit $).
EN: 5% of Revenue (rate from assumption cell C6 — absolute reference with $).</t>
  </si>
  <si>
    <t>PRAP (Passive Rechnungsabgrenzung)</t>
  </si>
  <si>
    <t>Beispiel / Example:  RUNDEN/ROUND(Kosten × PRAP-Rate, 0)  →  =ROUND(E25*$C$7,0)</t>
  </si>
  <si>
    <t>DE: 3% der Kosten (Rate aus C7). ROUND rundet auf ganze Zahlen.
EN: 3% of COGS (rate from C7). ROUND to whole numbers.</t>
  </si>
  <si>
    <t>Bereinigtes Ergebnis / Adjusted Result</t>
  </si>
  <si>
    <t>Beispiel / Example:  Bruttoergebnis − ARAP + PRAP  →  =F25-H25+I25</t>
  </si>
  <si>
    <t>DE: Bruttoergebnis − ARAP + PRAP = periodenbereinigtes Ergebnis nach HGB.
EN: Gross Profit − ARAP + PRAP = period-adjusted result per HGB/IFRS.</t>
  </si>
  <si>
    <t>Abweichung abs / Variance abs</t>
  </si>
  <si>
    <t>Beispiel / Example:  Umsatz_Ist − Umsatz_Plan  →  =D25-K25</t>
  </si>
  <si>
    <t>DE: Ist minus Plan. Positiv = über Plan (favorable). Negativ = unter Plan (adverse).
EN: Actual minus Budget. Positive = above plan (favorable). Negative = below plan (adverse).</t>
  </si>
  <si>
    <t>Abweichung % / Variance %</t>
  </si>
  <si>
    <t>Beispiel / Example:  WENN/IF(Plan&gt;0, Abw_abs/Plan, 0)  →  =IF(K25&gt;0,L25/K25,0)</t>
  </si>
  <si>
    <t>DE: Absolute Abweichung geteilt durch Plan = relative Abweichung in %.
EN: Absolute variance divided by Budget = relative variance %.</t>
  </si>
  <si>
    <t>Beispiel / Example:  WENN/IF(Abw%&gt;=Grün_Schwelle, Grün, WENN(Abw%&gt;Rot_Schwelle, Amber, Rot))</t>
  </si>
  <si>
    <t>DE: Verschachtelte IF-Formel. Prüft Abw.% gegen Grün/Rot-Schwelle aus Annahmen.
EN: Nested IF formula. Checks var% against Green/Red threshold from assumptions.</t>
  </si>
  <si>
    <t>③ MONATLICHE GuV VIA SUMIFS / MONTHLY P&amp;L VIA SUMIFS 2015  —  Formeln referenzieren Sheet "🗃️ Raw Data" / Formulas reference sheet "🗃️ Raw Data"</t>
  </si>
  <si>
    <t>Monat
/Month</t>
  </si>
  <si>
    <t>Umsatz_Ist
/Revenue
(SUMIFS)</t>
  </si>
  <si>
    <t>Kosten_Ist
/COGS
(SUMIFS)</t>
  </si>
  <si>
    <t>Bruttoerg.
/Gross Profit
(=D−E)</t>
  </si>
  <si>
    <t>Marge%
(=F/D)</t>
  </si>
  <si>
    <t>ARAP
(=D×Rate)</t>
  </si>
  <si>
    <t>PRAP
(=E×Rate)</t>
  </si>
  <si>
    <t>Ber.Erg.
/Adj.Result
(=F−H+I)</t>
  </si>
  <si>
    <t>Plan/Budget
(hardcoded)</t>
  </si>
  <si>
    <t>Abw.abs
/Var.abs
(=D−K)</t>
  </si>
  <si>
    <t>④ PYTHON vs. EXCEL — Wann was benutzen? / When to use which?</t>
  </si>
  <si>
    <t>Kriterium/Criterion</t>
  </si>
  <si>
    <t>Python (pandas)</t>
  </si>
  <si>
    <t>Excel (SUMIFS)</t>
  </si>
  <si>
    <t>Empfehlung/Recommendation</t>
  </si>
  <si>
    <t>Datenmenge / Data volume</t>
  </si>
  <si>
    <t>✅ Ideal für &gt;10k Zeilen
(113k Zeilen in Sekunden)</t>
  </si>
  <si>
    <t>⚠️ Langsam bei &gt;100k Zeilen
(Slow above 100k rows)</t>
  </si>
  <si>
    <t>→ Python für große Rohdaten
/for large raw data</t>
  </si>
  <si>
    <t>Transparenz / Transparency</t>
  </si>
  <si>
    <t>⚠️ Code nötig / Code required
(Nicht alle lesen Python)</t>
  </si>
  <si>
    <t>✅ Jede Formel sichtbar
(Every formula visible)</t>
  </si>
  <si>
    <t>→ Excel für Management-Reports
/for management reports</t>
  </si>
  <si>
    <t>Automatisierung / Automation</t>
  </si>
  <si>
    <t>✅ Vollautomatisch, reproduzierbar
(Fully automated, reproducible)</t>
  </si>
  <si>
    <t>⚠️ Manuell aktualisieren
(Manual update needed)</t>
  </si>
  <si>
    <t>→ Python für Monatsreports
/for recurring monthly reports</t>
  </si>
  <si>
    <t>Ergebnis / Result</t>
  </si>
  <si>
    <t>✅ Gleich/Same: Revenue Jan = 52.904</t>
  </si>
  <si>
    <t>✅ Gleich/Same: Revenue Jan = SUMIFS</t>
  </si>
  <si>
    <t>🎯 Beide Wege = gleiches Ergebnis
/Both approaches = same result!</t>
  </si>
  <si>
    <t>📊 KPI-DASHBOARD / KPI OVERVIEW — Formeln aus Raw Data / Formulas from Raw Data</t>
  </si>
  <si>
    <t>DE: Alle Werte über SUMIFS aus "🗃️ Raw Data (Sample)" berechnet. Sample = 2015 (300 Transaktionen).  |  EN: All values calculated via SUMIFS from Raw Data. Sample = 2015 (300 transactions).</t>
  </si>
  <si>
    <t>🔵 Blau/Blue = hardcoded Eingabe/input  |  🟢 Grün/Green = Excel-Formel aus Raw Data / Excel formula from Raw Data  |  🟡 Gelb/Yellow = Annahme änderbar / editable assumption  |  Formeln referenzieren: "🗃️ Raw Data (Sample)" / Formulas reference: "🗃️ Raw Data (Sample)"</t>
  </si>
  <si>
    <t>① JAHRES-KPIS 2015 / ANNUAL KPIs 2015 — via SUMIFS aus/from Raw Data</t>
  </si>
  <si>
    <t>Umsatz
/Revenue
(SUMIFS)</t>
  </si>
  <si>
    <t>COGS
/Costs
(SUMIFS)</t>
  </si>
  <si>
    <t>Bruttoergebnis
/Gross Profit
(=B−C)</t>
  </si>
  <si>
    <t>Bruttomarge%
/GM%
(=D/B)</t>
  </si>
  <si>
    <t>Umsatz Plan
/Budget
(hardcoded)</t>
  </si>
  <si>
    <t>Plan-Abw.abs
/Var.abs
(=B−F)</t>
  </si>
  <si>
    <t>Plan-Abw.%
/Var.%
(=G/F)</t>
  </si>
  <si>
    <t>Bewertung
/Assessment</t>
  </si>
  <si>
    <t>ℹ️  Hinweis / Note: Das Raw Data Sample enthält nur 2015 (300 Transaktionen). Für alle Jahre 2011–2016 → siehe Sheet "📋 Annual Closing" (vollständige Daten via Python). Die SUMIFS-Logik ist identisch — einfach das Datenjahr in Spalte B ändern.</t>
  </si>
  <si>
    <t>② KPI NACH KATEGORIE / BY CATEGORY 2015 — SUMIFS(Kategorie-Filter/Category filter)</t>
  </si>
  <si>
    <t>Kategorie
/Category</t>
  </si>
  <si>
    <t>COGS
(SUMIFS)</t>
  </si>
  <si>
    <t>Bruttoergebnis
/GP
(=C−D)</t>
  </si>
  <si>
    <t>DB-Quote%
/CM Rate%
(=E/C)</t>
  </si>
  <si>
    <t>Rev Share%
/Umsatzanteil%
(=C/ΣC)</t>
  </si>
  <si>
    <t>Formel-Beispiel / Formula Example</t>
  </si>
  <si>
    <t>Accessories</t>
  </si>
  <si>
    <t>SUMIFS(Revenue, Category, "Accessories")</t>
  </si>
  <si>
    <t>SUMIFS(Revenue, Category, "Bikes")</t>
  </si>
  <si>
    <t>Clothing</t>
  </si>
  <si>
    <t>SUMIFS(Revenue, Category, "Clothing")</t>
  </si>
  <si>
    <t>GESAMT/TOTAL</t>
  </si>
  <si>
    <t>③ DIAGRAMME / CHARTS — Daten aus "📋 Annual Closing" 2011–2016 / Data from "Annual Closing"</t>
  </si>
  <si>
    <t>📋 PLAN-IST-VERGLEICH 2015 / BUDGET VS. ACTUAL 2015 — via SUMIFS</t>
  </si>
  <si>
    <t>DE: Umsatz Ist = SUMIFS aus Raw Data (nach Monat). Plan = hardcoded aus Modul 0. Alle abgeleiteten Werte (Abw., Marge, RAG) = Excel-Formeln.  |  EN: Revenue Actual = SUMIFS from Raw Data (by month). Budget = hardcoded from Module 0. All derived values (var., margin, RAG) = Excel formulas.</t>
  </si>
  <si>
    <t>① ANNAHMEN / ASSUMPTIONS — RAG-Schwellen (gelb = änderbar / yellow = editable)</t>
  </si>
  <si>
    <t>Grün-Schwelle / Green:</t>
  </si>
  <si>
    <t>Rot-Schwelle / Red:</t>
  </si>
  <si>
    <t>Materialität/Materiality: ±5%</t>
  </si>
  <si>
    <t>② MONATLICHE ÜBERSICHT / MONTHLY OVERVIEW</t>
  </si>
  <si>
    <t>Monat
(Helper)</t>
  </si>
  <si>
    <t>Umsatz Ist
/Revenue
(SUMIFS)</t>
  </si>
  <si>
    <t>Abw.abs
/Var.abs
(=D−E)</t>
  </si>
  <si>
    <t>Abw.%
/Var.%
(=F/E)</t>
  </si>
  <si>
    <t>RAG
(IF-Formel)</t>
  </si>
  <si>
    <t>Marge%
/Margin%
(=GP/Rev)</t>
  </si>
  <si>
    <t>Ergebnis Ist
/Profit
(SUMIFS)</t>
  </si>
  <si>
    <t>Erg.Plan
/Profit Budget
(hardcoded)</t>
  </si>
  <si>
    <t>③ FORMELERKLÄRUNG / FORMULA EXPLANATION</t>
  </si>
  <si>
    <t>Umsatz Ist (SUMIFS)</t>
  </si>
  <si>
    <t xml:space="preserve"> =SUMIFS(Revenue, Datum, "&gt;="&amp;Monatsbeginn, Datum, "&lt;"&amp;Monatsende)  ← SUMIFS nach Monat / by month</t>
  </si>
  <si>
    <t>Summiert Revenue wo Datum im jeweiligen Monat / Sums Revenue where date is in the given month</t>
  </si>
  <si>
    <t>Abw.% / Var.%</t>
  </si>
  <si>
    <t xml:space="preserve"> =IF(Plan&gt;0, (Ist-Plan)/Plan, 0)  ← relative Abweichung / relative variance</t>
  </si>
  <si>
    <t>Relative Abweichung. IF schützt vor Division durch Null / IF protects division by zero</t>
  </si>
  <si>
    <t xml:space="preserve"> =IF(Abw%&gt;=$D$6,"🟢",IF(Abw%&gt;$H$6,"🟡","🔴"))  ← RAG aus Schwellen / from thresholds</t>
  </si>
  <si>
    <t>Schwellen aus Annahmen-Zellen $D$6/$H$6 — änderbar! / Thresholds from assumption cells — editable!</t>
  </si>
  <si>
    <t>Bruttomarge / Margin%</t>
  </si>
  <si>
    <t xml:space="preserve"> =IF(Revenue&gt;0, Profit/Revenue, 0)  ← Bruttomarge / gross margin</t>
  </si>
  <si>
    <t>Bruttoergebnis geteilt durch Umsatz / Gross Profit divided by Revenue</t>
  </si>
  <si>
    <t>🧮 DECKUNGSBEITRAGSRECHNUNG / CONTRIBUTION MARGIN — via SUMIFS 2015</t>
  </si>
  <si>
    <t>DE: DB I und COGS via SUMIFS aus Raw Data. Fixkosten = Umsatz × Rate (Formel). DB II = DB I − Fixkosten (Formel).  |  EN: CM I and COGS via SUMIFS from Raw Data. Fixed costs = Revenue × Rate (formula). CM II = CM I − Fixed Costs (formula).</t>
  </si>
  <si>
    <t>① ANNAHMEN / ASSUMPTIONS</t>
  </si>
  <si>
    <t>Fixkostenrate / Fixed Cost Rate:</t>
  </si>
  <si>
    <t>15% des Umsatzes — in Zelle D6 änderbar / 15% of revenue — editable in cell D6</t>
  </si>
  <si>
    <t>② NACH PRODUKTKATEGORIE / BY PRODUCT CATEGORY — SUMIFS(D:D, Kategorie)</t>
  </si>
  <si>
    <t>Var.Kosten
/COGS
(SUMIFS)</t>
  </si>
  <si>
    <t>DB I / CM I
(=C−D)</t>
  </si>
  <si>
    <t>Fixkosten
/Fixed
(=C×Rate)</t>
  </si>
  <si>
    <t>DB II / CM II
(=E−F)</t>
  </si>
  <si>
    <t>Rev Share%
(=C/ΣC)</t>
  </si>
  <si>
    <t>Formel-Beispiel
/Formula Example</t>
  </si>
  <si>
    <t>③ NACH LAND / BY COUNTRY — SUMIFS(B:B, Land/Country)</t>
  </si>
  <si>
    <t>Land EN
/Country</t>
  </si>
  <si>
    <t>Land DE
/Land</t>
  </si>
  <si>
    <t>DB I / CM I
(=D−E)</t>
  </si>
  <si>
    <t>Fixkosten
/Fixed
(=D×Rate)</t>
  </si>
  <si>
    <t>DB II / CM II
(=F−G)</t>
  </si>
  <si>
    <t>DB-Quote%
/CM Rate%
(=F/D)</t>
  </si>
  <si>
    <t>SUMIFS(Revenue, Country, "Australia")</t>
  </si>
  <si>
    <t>SUMIFS(Revenue, Country, "Canada")</t>
  </si>
  <si>
    <t>SUMIFS(Revenue, Country, "France")</t>
  </si>
  <si>
    <t>SUMIFS(Revenue, Country, "Germany")</t>
  </si>
  <si>
    <t>SUMIFS(Revenue, Country, "United Kingdom")</t>
  </si>
  <si>
    <t>SUMIFS(Revenue, Country, "United States")</t>
  </si>
  <si>
    <t>④ FORMELERKLÄRUNG / FORMULA EXPLANATION</t>
  </si>
  <si>
    <t>SUMIFS — Kategorie/Category</t>
  </si>
  <si>
    <t xml:space="preserve"> =SUMIFS(Revenue_Spalte, Kategorie_Spalte, "Bikes")  ← Kategorie-Filter / category filter</t>
  </si>
  <si>
    <t>Summiert Revenue wo Kategorie = "Bikes" / Sums Revenue where Category = "Bikes"</t>
  </si>
  <si>
    <t>SUMIFS — Land/Country</t>
  </si>
  <si>
    <t xml:space="preserve"> =SUMIFS(Revenue_Spalte, Land_Spalte, "Germany")  ← Länder-Filter / country filter</t>
  </si>
  <si>
    <t>Summiert Revenue wo Land = "Germany" / Sums Revenue where Country = "Germany"</t>
  </si>
  <si>
    <t>DB I / CM I</t>
  </si>
  <si>
    <t xml:space="preserve"> =Umsatz - Var.Kosten  →  z.B. =C10-D10  ← DB I Berechnung / CM I calculation</t>
  </si>
  <si>
    <t>Deckungsbeitrag I = Umsatz minus variable Kosten (COGS) / CM I = Revenue minus COGS</t>
  </si>
  <si>
    <t>Fixkosten / Fixed Costs</t>
  </si>
  <si>
    <t xml:space="preserve"> =ROUND(Umsatz × $D$6, 0)  →  z.B. =ROUND(C10*$D$6,0)  ← Fixkosten / fixed costs</t>
  </si>
  <si>
    <t>15% des Umsatzes (Rate in $D$6 änderbar) / 15% of revenue (rate editable in $D$6)</t>
  </si>
  <si>
    <t>DB II / CM II</t>
  </si>
  <si>
    <t xml:space="preserve"> =DB I - Fixkosten  →  z.B. =E10-F10  ← DB II Berechnung / CM II calculation</t>
  </si>
  <si>
    <t>Deckungsbeitrag II nach Abzug der Fixkosten / CM II after deducting fixed costs</t>
  </si>
  <si>
    <t>📈 ROLLING FORECAST 2015 — SUMIFS + Forecast-Formel / Formula</t>
  </si>
  <si>
    <t>DE: Ist-Werte via SUMIFS aus Raw Data. Forecast = Ø letzter 3 Ist-Monate × Saisonfaktor (Formel). Plan = hardcoded aus Modul 0.  |  EN: Actuals via SUMIFS from Raw Data. Forecast = Avg last 3 actuals × seasonality factor (formula). Budget = hardcoded from Module 0.</t>
  </si>
  <si>
    <t>Cutoff-Monat / Cutoff Month:</t>
  </si>
  <si>
    <t>Letzter Ist-Monat (1–12) — änderbar! / Last actual month (1–12) — editable!</t>
  </si>
  <si>
    <t>Saisonfaktoren 2013 / Seasonality 2013:</t>
  </si>
  <si>
    <t>In Zeilen 10–21 hinterlegt (Spalte E) / Stored in rows 10–21 (column E) — aus/from 2013-Daten</t>
  </si>
  <si>
    <t>Saisonfaktor
/Season Factor
(2013, hardcoded)</t>
  </si>
  <si>
    <t>Forecast
(=Ø×Saison)
IF Monat&gt;Cutoff</t>
  </si>
  <si>
    <t>Ist oder FC
/Actual or FC
(IF-Formel)</t>
  </si>
  <si>
    <t>Abw.Ist/Plan
/Act vs Budget
(=D−F)/F</t>
  </si>
  <si>
    <t>✅ Ist-Wert via SUMIFS / Actual via SUMIFS</t>
  </si>
  <si>
    <t>🟡 Forecast: Ø(Jul–Sep) × Saisonfaktor / Avg(Jul–Sep) × seasonality</t>
  </si>
  <si>
    <t>GESAMT 2015 / TOTAL</t>
  </si>
  <si>
    <t>③ JAHRESPROGNOSE / ANNUAL PROJECTION</t>
  </si>
  <si>
    <t>Ist YTD / Actual YTD</t>
  </si>
  <si>
    <t>Forecast Rest / Remaining Forecast</t>
  </si>
  <si>
    <t>Jahresprognose / Annual Projection</t>
  </si>
  <si>
    <t>Jahresbudget / Annual Budget</t>
  </si>
  <si>
    <t>Prognose vs. Budget</t>
  </si>
  <si>
    <t xml:space="preserve"> =IF(Monat&lt;=Cutoff, SUMIFS(Revenue, Datum, "&gt;="&amp;Monatsbeginn, "&lt;"&amp;Monatsende), "")  ← Ist via SUMIFS</t>
  </si>
  <si>
    <t>Gibt "" zurück wenn Monat &gt; Cutoff (kein Ist-Wert vorhanden) / Returns "" if month &gt; cutoff (no actual available)</t>
  </si>
  <si>
    <t>Forecast-Formel</t>
  </si>
  <si>
    <t xml:space="preserve"> =IF(Monat&gt;Cutoff, ROUND(AVERAGE(D17:D19) × Saisonfaktor, 0), "")  ← Forecast-Formel</t>
  </si>
  <si>
    <t>Ø der 3 Ist-Monate (Jul–Sep) × Saisonfaktor aus 2013 / Avg of 3 actual months × 2013 seasonality</t>
  </si>
  <si>
    <t>Ist oder FC (IF)</t>
  </si>
  <si>
    <t xml:space="preserve"> =IF(Monat&lt;=Cutoff, Ist-Wert, Forecast-Wert)  ← kombiniert Ist + Forecast / combines actual+forecast</t>
  </si>
  <si>
    <t>Kombiniert Ist und Forecast in einer Spalte für einfache Jahressumme / Combines actual &amp; forecast for annual sum</t>
  </si>
  <si>
    <t>Jahresprognose</t>
  </si>
  <si>
    <t xml:space="preserve"> =Ist YTD + Forecast Rest  →  =B26+B27  ← Jahresprognose / annual projection</t>
  </si>
  <si>
    <t>Einfache Addition: tatsächlicher Ist + Forecast für verbleibende Monate / Simple sum: actual YTD + forecast remainder</t>
  </si>
  <si>
    <t>✅ Erledigt</t>
  </si>
  <si>
    <t>🔵 Blau/Blue = Rohdaten-Eingabe (hardcoded)  |  🟢 Grün/Green = Excel-Formel / Excel formula  |  Profit-Spalte = Revenue−Cost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</si>
</sst>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(#,##0\);\-"/>
    <numFmt numFmtId="165" formatCode="0.0%;\(0.0%\);\-"/>
    <numFmt numFmtId="166" formatCode="0.00%;\(0.00%\);\-"/>
    <numFmt numFmtId="167" formatCode="yyyy\-mm\-dd"/>
    <numFmt numFmtId="168" formatCode="0.0%"/>
    <numFmt numFmtId="169" formatCode="\+0.0%;\-0.0%;\-"/>
    <numFmt numFmtId="170" formatCode="\+0.00;\-0.00"/>
  </numFmts>
  <fonts count="4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color rgb="FF94A3B8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i/>
      <sz val="9"/>
      <color rgb="FF64748B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i/>
      <sz val="8"/>
      <color rgb="FF64748B"/>
      <name val="Arial"/>
      <charset val="1"/>
    </font>
    <font>
      <b/>
      <sz val="13"/>
      <color rgb="FFFFFFFF"/>
      <name val="Arial"/>
      <charset val="1"/>
    </font>
    <font>
      <sz val="9"/>
      <color rgb="FF94A3B8"/>
      <name val="Arial"/>
      <charset val="1"/>
    </font>
    <font>
      <sz val="9"/>
      <color rgb="FF334155"/>
      <name val="Arial"/>
      <charset val="1"/>
    </font>
    <font>
      <b/>
      <sz val="9"/>
      <color rgb="FFFFFFFF"/>
      <name val="Arial"/>
      <charset val="1"/>
    </font>
    <font>
      <sz val="10"/>
      <color rgb="FF008000"/>
      <name val="Arial"/>
      <charset val="1"/>
    </font>
    <font>
      <sz val="12"/>
      <name val="Arial"/>
      <charset val="1"/>
    </font>
    <font>
      <b/>
      <sz val="12"/>
      <name val="Arial"/>
      <charset val="1"/>
    </font>
    <font>
      <b/>
      <sz val="8"/>
      <name val="Arial"/>
      <charset val="1"/>
    </font>
    <font>
      <sz val="8"/>
      <name val="Arial"/>
      <charset val="1"/>
    </font>
    <font>
      <i/>
      <sz val="9"/>
      <color rgb="FF94A3B8"/>
      <name val="Arial"/>
      <charset val="1"/>
    </font>
    <font>
      <b/>
      <sz val="11"/>
      <color rgb="FFFFFFFF"/>
      <name val="Arial"/>
      <charset val="1"/>
    </font>
    <font>
      <sz val="8"/>
      <color rgb="FF334155"/>
      <name val="Arial"/>
      <charset val="1"/>
    </font>
    <font>
      <b/>
      <sz val="9"/>
      <color rgb="FF000000"/>
      <name val="Arial"/>
      <charset val="1"/>
    </font>
    <font>
      <b/>
      <sz val="8"/>
      <color rgb="FFFFFFFF"/>
      <name val="Arial"/>
      <charset val="1"/>
    </font>
    <font>
      <sz val="8"/>
      <color rgb="FF92400E"/>
      <name val="Arial"/>
      <charset val="1"/>
    </font>
    <font>
      <sz val="9"/>
      <color rgb="FF0000FF"/>
      <name val="Arial"/>
      <charset val="1"/>
    </font>
    <font>
      <sz val="9"/>
      <color rgb="FF006400"/>
      <name val="Arial"/>
      <charset val="1"/>
    </font>
    <font>
      <sz val="10"/>
      <color rgb="FF006400"/>
      <name val="Arial"/>
      <charset val="1"/>
    </font>
    <font>
      <sz val="8"/>
      <color rgb="FF64748B"/>
      <name val="Arial"/>
      <charset val="1"/>
    </font>
    <font>
      <b/>
      <sz val="12"/>
      <color rgb="FFFFFFFF"/>
      <name val="Arial"/>
      <charset val="1"/>
    </font>
    <font>
      <b/>
      <sz val="9"/>
      <color rgb="FF1E293B"/>
      <name val="Arial"/>
      <charset val="1"/>
    </font>
    <font>
      <sz val="8"/>
      <color rgb="FF006400"/>
      <name val="Arial"/>
      <charset val="1"/>
    </font>
    <font>
      <sz val="8"/>
      <color rgb="FF374151"/>
      <name val="Arial"/>
      <charset val="1"/>
    </font>
    <font>
      <sz val="9"/>
      <color rgb="FF1E293B"/>
      <name val="Arial"/>
      <charset val="1"/>
    </font>
    <font>
      <b/>
      <sz val="10"/>
      <color rgb="FF1E293B"/>
      <name val="Arial"/>
      <charset val="1"/>
    </font>
    <font>
      <b/>
      <sz val="8"/>
      <color rgb="FF1E293B"/>
      <name val="Arial"/>
      <charset val="1"/>
    </font>
    <font>
      <sz val="8"/>
      <color rgb="FF1E293B"/>
      <name val="Arial"/>
      <charset val="1"/>
    </font>
    <font>
      <sz val="9"/>
      <color rgb="FF374151"/>
      <name val="Arial"/>
      <charset val="1"/>
    </font>
    <font>
      <b/>
      <sz val="10"/>
      <color rgb="FF0000FF"/>
      <name val="Arial"/>
      <charset val="1"/>
    </font>
    <font>
      <sz val="8"/>
      <color rgb="FF94A3B8"/>
      <name val="Arial"/>
      <charset val="1"/>
    </font>
    <font>
      <b/>
      <sz val="12"/>
      <color rgb="FF1D3557"/>
      <name val="Arial"/>
      <charset val="1"/>
    </font>
    <font>
      <b/>
      <sz val="11"/>
      <color rgb="FF3F3F3F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E3A5F"/>
        <bgColor rgb="FF1D3557"/>
      </patternFill>
    </fill>
    <fill>
      <patternFill patternType="solid">
        <fgColor rgb="FFEFF6FF"/>
        <bgColor rgb="FFF1F5F9"/>
      </patternFill>
    </fill>
    <fill>
      <patternFill patternType="solid">
        <fgColor rgb="FF2563EB"/>
        <bgColor rgb="FF457B9D"/>
      </patternFill>
    </fill>
    <fill>
      <patternFill patternType="solid">
        <fgColor rgb="FFF1F5F9"/>
        <bgColor rgb="FFEFF6FF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FEF9C3"/>
        <bgColor rgb="FFFEF3C7"/>
      </patternFill>
    </fill>
    <fill>
      <patternFill patternType="solid">
        <fgColor rgb="FF334155"/>
        <bgColor rgb="FF374151"/>
      </patternFill>
    </fill>
    <fill>
      <patternFill patternType="solid">
        <fgColor rgb="FF1D3557"/>
        <bgColor rgb="FF1E3A5F"/>
      </patternFill>
    </fill>
    <fill>
      <patternFill patternType="solid">
        <fgColor rgb="FF457B9D"/>
        <bgColor rgb="FF64748B"/>
      </patternFill>
    </fill>
    <fill>
      <patternFill patternType="solid">
        <fgColor rgb="FFA8DADC"/>
        <bgColor rgb="FFCBD5E1"/>
      </patternFill>
    </fill>
    <fill>
      <patternFill patternType="solid">
        <fgColor rgb="FFD1FAE5"/>
        <bgColor rgb="FFEFF6FF"/>
      </patternFill>
    </fill>
    <fill>
      <patternFill patternType="solid">
        <fgColor rgb="FFFEF3C7"/>
        <bgColor rgb="FFFEF9C3"/>
      </patternFill>
    </fill>
    <fill>
      <patternFill patternType="solid">
        <fgColor rgb="FFFFF8E7"/>
        <bgColor rgb="FFF8FAFC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medium">
        <color rgb="FF94A3B8"/>
      </left>
      <right style="medium">
        <color rgb="FF94A3B8"/>
      </right>
      <top style="medium">
        <color rgb="FF94A3B8"/>
      </top>
      <bottom style="medium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0" fillId="16" borderId="5" applyNumberFormat="0" applyAlignment="0" applyProtection="0"/>
  </cellStyleXfs>
  <cellXfs count="180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right" vertical="center"/>
    </xf>
    <xf numFmtId="164" fontId="13" fillId="6" borderId="2" xfId="0" applyNumberFormat="1" applyFont="1" applyFill="1" applyBorder="1" applyAlignment="1">
      <alignment horizontal="right" vertical="center"/>
    </xf>
    <xf numFmtId="165" fontId="13" fillId="6" borderId="2" xfId="0" applyNumberFormat="1" applyFont="1" applyFill="1" applyBorder="1" applyAlignment="1">
      <alignment horizontal="right" vertical="center"/>
    </xf>
    <xf numFmtId="0" fontId="14" fillId="6" borderId="2" xfId="0" applyFont="1" applyFill="1" applyBorder="1" applyAlignment="1">
      <alignment horizontal="center" vertical="center" wrapText="1"/>
    </xf>
    <xf numFmtId="164" fontId="3" fillId="8" borderId="1" xfId="0" applyNumberFormat="1" applyFont="1" applyFill="1" applyBorder="1" applyAlignment="1">
      <alignment horizontal="right" vertical="center"/>
    </xf>
    <xf numFmtId="165" fontId="3" fillId="8" borderId="1" xfId="0" applyNumberFormat="1" applyFont="1" applyFill="1" applyBorder="1" applyAlignment="1">
      <alignment horizontal="right" vertical="center"/>
    </xf>
    <xf numFmtId="0" fontId="15" fillId="8" borderId="1" xfId="0" applyFont="1" applyFill="1" applyBorder="1" applyAlignment="1">
      <alignment horizontal="right" vertical="center"/>
    </xf>
    <xf numFmtId="0" fontId="16" fillId="5" borderId="2" xfId="0" applyFont="1" applyFill="1" applyBorder="1" applyAlignment="1">
      <alignment horizontal="left" vertical="center" wrapText="1"/>
    </xf>
    <xf numFmtId="164" fontId="13" fillId="5" borderId="2" xfId="0" applyNumberFormat="1" applyFont="1" applyFill="1" applyBorder="1" applyAlignment="1">
      <alignment horizontal="right" vertical="center"/>
    </xf>
    <xf numFmtId="165" fontId="13" fillId="5" borderId="2" xfId="0" applyNumberFormat="1" applyFont="1" applyFill="1" applyBorder="1" applyAlignment="1">
      <alignment horizontal="right" vertical="center"/>
    </xf>
    <xf numFmtId="0" fontId="18" fillId="5" borderId="2" xfId="0" applyFont="1" applyFill="1" applyBorder="1" applyAlignment="1">
      <alignment horizontal="right" vertical="center"/>
    </xf>
    <xf numFmtId="0" fontId="22" fillId="11" borderId="2" xfId="0" applyFont="1" applyFill="1" applyBorder="1" applyAlignment="1">
      <alignment horizontal="center" vertical="center" wrapText="1"/>
    </xf>
    <xf numFmtId="167" fontId="24" fillId="5" borderId="2" xfId="0" applyNumberFormat="1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left" vertical="center" wrapText="1"/>
    </xf>
    <xf numFmtId="3" fontId="24" fillId="5" borderId="2" xfId="0" applyNumberFormat="1" applyFont="1" applyFill="1" applyBorder="1" applyAlignment="1">
      <alignment horizontal="center" vertical="center" wrapText="1"/>
    </xf>
    <xf numFmtId="164" fontId="24" fillId="5" borderId="2" xfId="0" applyNumberFormat="1" applyFont="1" applyFill="1" applyBorder="1" applyAlignment="1">
      <alignment horizontal="right" vertical="center"/>
    </xf>
    <xf numFmtId="164" fontId="25" fillId="5" borderId="2" xfId="0" applyNumberFormat="1" applyFont="1" applyFill="1" applyBorder="1" applyAlignment="1">
      <alignment horizontal="right" vertical="center"/>
    </xf>
    <xf numFmtId="167" fontId="24" fillId="6" borderId="2" xfId="0" applyNumberFormat="1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left" vertical="center" wrapText="1"/>
    </xf>
    <xf numFmtId="3" fontId="24" fillId="6" borderId="2" xfId="0" applyNumberFormat="1" applyFont="1" applyFill="1" applyBorder="1" applyAlignment="1">
      <alignment horizontal="center" vertical="center" wrapText="1"/>
    </xf>
    <xf numFmtId="164" fontId="24" fillId="6" borderId="2" xfId="0" applyNumberFormat="1" applyFont="1" applyFill="1" applyBorder="1" applyAlignment="1">
      <alignment horizontal="right" vertical="center"/>
    </xf>
    <xf numFmtId="164" fontId="25" fillId="6" borderId="2" xfId="0" applyNumberFormat="1" applyFont="1" applyFill="1" applyBorder="1" applyAlignment="1">
      <alignment horizontal="right" vertical="center"/>
    </xf>
    <xf numFmtId="164" fontId="26" fillId="12" borderId="2" xfId="0" applyNumberFormat="1" applyFont="1" applyFill="1" applyBorder="1" applyAlignment="1">
      <alignment horizontal="right" vertical="center"/>
    </xf>
    <xf numFmtId="0" fontId="8" fillId="7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/>
    </xf>
    <xf numFmtId="0" fontId="3" fillId="8" borderId="2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left" vertical="center" wrapText="1"/>
    </xf>
    <xf numFmtId="0" fontId="6" fillId="9" borderId="0" xfId="0" applyFont="1" applyFill="1" applyAlignment="1">
      <alignment horizontal="left" vertical="center" wrapText="1"/>
    </xf>
    <xf numFmtId="0" fontId="19" fillId="10" borderId="3" xfId="0" applyFont="1" applyFill="1" applyBorder="1" applyAlignment="1">
      <alignment horizontal="center" vertical="center" wrapText="1"/>
    </xf>
    <xf numFmtId="0" fontId="22" fillId="11" borderId="3" xfId="0" applyFont="1" applyFill="1" applyBorder="1" applyAlignment="1">
      <alignment horizontal="center" vertical="center" wrapText="1"/>
    </xf>
    <xf numFmtId="0" fontId="23" fillId="8" borderId="3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 wrapText="1"/>
    </xf>
    <xf numFmtId="0" fontId="27" fillId="5" borderId="3" xfId="0" applyFont="1" applyFill="1" applyBorder="1" applyAlignment="1">
      <alignment horizontal="left" vertical="center" wrapText="1"/>
    </xf>
    <xf numFmtId="0" fontId="6" fillId="11" borderId="4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0" fillId="16" borderId="5" xfId="1"/>
    <xf numFmtId="0" fontId="4" fillId="3" borderId="6" xfId="0" applyFont="1" applyFill="1" applyBorder="1" applyAlignment="1">
      <alignment horizontal="center" vertical="center" wrapText="1"/>
    </xf>
    <xf numFmtId="0" fontId="20" fillId="5" borderId="6" xfId="0" applyFont="1" applyFill="1" applyBorder="1" applyAlignment="1">
      <alignment vertical="center" wrapText="1"/>
    </xf>
    <xf numFmtId="0" fontId="20" fillId="6" borderId="6" xfId="0" applyFont="1" applyFill="1" applyBorder="1" applyAlignment="1">
      <alignment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19" fillId="9" borderId="6" xfId="0" applyFont="1" applyFill="1" applyBorder="1" applyAlignment="1">
      <alignment horizontal="left" vertical="center" wrapText="1"/>
    </xf>
    <xf numFmtId="0" fontId="11" fillId="7" borderId="6" xfId="0" applyFont="1" applyFill="1" applyBorder="1" applyAlignment="1">
      <alignment horizontal="left" vertical="center" wrapText="1"/>
    </xf>
    <xf numFmtId="0" fontId="11" fillId="5" borderId="6" xfId="0" applyFont="1" applyFill="1" applyBorder="1" applyAlignment="1">
      <alignment horizontal="left" vertical="center" wrapText="1"/>
    </xf>
    <xf numFmtId="0" fontId="6" fillId="9" borderId="6" xfId="0" applyFont="1" applyFill="1" applyBorder="1"/>
    <xf numFmtId="0" fontId="3" fillId="0" borderId="6" xfId="0" applyFont="1" applyBorder="1"/>
    <xf numFmtId="0" fontId="5" fillId="0" borderId="6" xfId="0" applyFont="1" applyBorder="1" applyAlignment="1">
      <alignment horizontal="left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6" xfId="0" applyFont="1" applyFill="1" applyBorder="1"/>
    <xf numFmtId="0" fontId="6" fillId="9" borderId="6" xfId="0" applyFont="1" applyFill="1" applyBorder="1" applyAlignment="1">
      <alignment horizontal="left" vertical="center" wrapText="1"/>
    </xf>
    <xf numFmtId="0" fontId="21" fillId="5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left" vertical="center" wrapText="1"/>
    </xf>
    <xf numFmtId="0" fontId="21" fillId="6" borderId="6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left" vertical="center" wrapText="1"/>
    </xf>
    <xf numFmtId="0" fontId="19" fillId="4" borderId="6" xfId="0" applyFont="1" applyFill="1" applyBorder="1" applyAlignment="1">
      <alignment horizontal="left" vertical="center" indent="1"/>
    </xf>
    <xf numFmtId="0" fontId="21" fillId="5" borderId="6" xfId="0" applyFont="1" applyFill="1" applyBorder="1" applyAlignment="1">
      <alignment horizontal="left" vertical="center" wrapText="1"/>
    </xf>
    <xf numFmtId="0" fontId="7" fillId="5" borderId="6" xfId="0" applyFont="1" applyFill="1" applyBorder="1" applyAlignment="1">
      <alignment horizontal="left" vertical="center" wrapText="1"/>
    </xf>
    <xf numFmtId="0" fontId="21" fillId="6" borderId="6" xfId="0" applyFont="1" applyFill="1" applyBorder="1" applyAlignment="1">
      <alignment horizontal="left" vertical="center" wrapText="1"/>
    </xf>
    <xf numFmtId="0" fontId="7" fillId="6" borderId="6" xfId="0" applyFont="1" applyFill="1" applyBorder="1" applyAlignment="1">
      <alignment horizontal="left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22" fillId="11" borderId="6" xfId="0" applyFont="1" applyFill="1" applyBorder="1" applyAlignment="1">
      <alignment horizontal="center" vertical="center" wrapText="1"/>
    </xf>
    <xf numFmtId="0" fontId="32" fillId="6" borderId="6" xfId="0" applyFont="1" applyFill="1" applyBorder="1" applyAlignment="1">
      <alignment horizontal="center" vertical="center" wrapText="1"/>
    </xf>
    <xf numFmtId="164" fontId="25" fillId="6" borderId="6" xfId="0" applyNumberFormat="1" applyFont="1" applyFill="1" applyBorder="1" applyAlignment="1">
      <alignment horizontal="right" vertical="center"/>
    </xf>
    <xf numFmtId="165" fontId="25" fillId="6" borderId="6" xfId="0" applyNumberFormat="1" applyFont="1" applyFill="1" applyBorder="1" applyAlignment="1">
      <alignment horizontal="right" vertical="center"/>
    </xf>
    <xf numFmtId="164" fontId="24" fillId="6" borderId="6" xfId="0" applyNumberFormat="1" applyFont="1" applyFill="1" applyBorder="1" applyAlignment="1">
      <alignment horizontal="right" vertical="center"/>
    </xf>
    <xf numFmtId="0" fontId="25" fillId="6" borderId="6" xfId="0" applyFont="1" applyFill="1" applyBorder="1" applyAlignment="1">
      <alignment horizontal="center" vertical="center" wrapText="1"/>
    </xf>
    <xf numFmtId="0" fontId="32" fillId="5" borderId="6" xfId="0" applyFont="1" applyFill="1" applyBorder="1" applyAlignment="1">
      <alignment horizontal="center" vertical="center" wrapText="1"/>
    </xf>
    <xf numFmtId="164" fontId="25" fillId="5" borderId="6" xfId="0" applyNumberFormat="1" applyFont="1" applyFill="1" applyBorder="1" applyAlignment="1">
      <alignment horizontal="right" vertical="center"/>
    </xf>
    <xf numFmtId="165" fontId="25" fillId="5" borderId="6" xfId="0" applyNumberFormat="1" applyFont="1" applyFill="1" applyBorder="1" applyAlignment="1">
      <alignment horizontal="right" vertical="center"/>
    </xf>
    <xf numFmtId="164" fontId="24" fillId="5" borderId="6" xfId="0" applyNumberFormat="1" applyFont="1" applyFill="1" applyBorder="1" applyAlignment="1">
      <alignment horizontal="right" vertical="center"/>
    </xf>
    <xf numFmtId="0" fontId="25" fillId="5" borderId="6" xfId="0" applyFont="1" applyFill="1" applyBorder="1" applyAlignment="1">
      <alignment horizontal="center" vertical="center" wrapText="1"/>
    </xf>
    <xf numFmtId="164" fontId="33" fillId="12" borderId="6" xfId="0" applyNumberFormat="1" applyFont="1" applyFill="1" applyBorder="1" applyAlignment="1">
      <alignment horizontal="right" vertical="center"/>
    </xf>
    <xf numFmtId="165" fontId="33" fillId="12" borderId="6" xfId="0" applyNumberFormat="1" applyFont="1" applyFill="1" applyBorder="1" applyAlignment="1">
      <alignment horizontal="right" vertical="center"/>
    </xf>
    <xf numFmtId="0" fontId="12" fillId="11" borderId="6" xfId="0" applyFont="1" applyFill="1" applyBorder="1" applyAlignment="1">
      <alignment horizontal="center" vertical="center" wrapText="1"/>
    </xf>
    <xf numFmtId="0" fontId="34" fillId="5" borderId="6" xfId="0" applyFont="1" applyFill="1" applyBorder="1" applyAlignment="1">
      <alignment horizontal="left" vertical="center" wrapText="1"/>
    </xf>
    <xf numFmtId="0" fontId="35" fillId="5" borderId="6" xfId="0" applyFont="1" applyFill="1" applyBorder="1" applyAlignment="1">
      <alignment horizontal="left" vertical="center" wrapText="1"/>
    </xf>
    <xf numFmtId="0" fontId="35" fillId="13" borderId="6" xfId="0" applyFont="1" applyFill="1" applyBorder="1" applyAlignment="1">
      <alignment horizontal="left" vertical="center" wrapText="1"/>
    </xf>
    <xf numFmtId="0" fontId="34" fillId="6" borderId="6" xfId="0" applyFont="1" applyFill="1" applyBorder="1" applyAlignment="1">
      <alignment horizontal="left" vertical="center" wrapText="1"/>
    </xf>
    <xf numFmtId="0" fontId="35" fillId="6" borderId="6" xfId="0" applyFont="1" applyFill="1" applyBorder="1" applyAlignment="1">
      <alignment horizontal="left" vertical="center" wrapText="1"/>
    </xf>
    <xf numFmtId="0" fontId="28" fillId="10" borderId="6" xfId="0" applyFont="1" applyFill="1" applyBorder="1" applyAlignment="1">
      <alignment horizontal="center" vertical="center" wrapText="1"/>
    </xf>
    <xf numFmtId="0" fontId="22" fillId="11" borderId="6" xfId="0" applyFont="1" applyFill="1" applyBorder="1" applyAlignment="1">
      <alignment horizontal="center" vertical="center" wrapText="1"/>
    </xf>
    <xf numFmtId="0" fontId="29" fillId="5" borderId="6" xfId="0" applyFont="1" applyFill="1" applyBorder="1" applyAlignment="1">
      <alignment horizontal="left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27" fillId="5" borderId="6" xfId="0" applyFont="1" applyFill="1" applyBorder="1" applyAlignment="1">
      <alignment horizontal="left" vertical="center" wrapText="1"/>
    </xf>
    <xf numFmtId="0" fontId="29" fillId="6" borderId="6" xfId="0" applyFont="1" applyFill="1" applyBorder="1" applyAlignment="1">
      <alignment horizontal="left" vertical="center" wrapText="1"/>
    </xf>
    <xf numFmtId="168" fontId="4" fillId="8" borderId="6" xfId="0" applyNumberFormat="1" applyFont="1" applyFill="1" applyBorder="1" applyAlignment="1">
      <alignment horizontal="center" vertical="center" wrapText="1"/>
    </xf>
    <xf numFmtId="0" fontId="27" fillId="6" borderId="6" xfId="0" applyFont="1" applyFill="1" applyBorder="1" applyAlignment="1">
      <alignment horizontal="left" vertical="center" wrapText="1"/>
    </xf>
    <xf numFmtId="0" fontId="30" fillId="5" borderId="6" xfId="0" applyFont="1" applyFill="1" applyBorder="1" applyAlignment="1">
      <alignment horizontal="left" vertical="center" wrapText="1"/>
    </xf>
    <xf numFmtId="0" fontId="31" fillId="5" borderId="6" xfId="0" applyFont="1" applyFill="1" applyBorder="1" applyAlignment="1">
      <alignment horizontal="left" vertical="center" wrapText="1"/>
    </xf>
    <xf numFmtId="0" fontId="30" fillId="6" borderId="6" xfId="0" applyFont="1" applyFill="1" applyBorder="1" applyAlignment="1">
      <alignment horizontal="left" vertical="center" wrapText="1"/>
    </xf>
    <xf numFmtId="0" fontId="31" fillId="6" borderId="6" xfId="0" applyFont="1" applyFill="1" applyBorder="1" applyAlignment="1">
      <alignment horizontal="left" vertical="center" wrapText="1"/>
    </xf>
    <xf numFmtId="0" fontId="23" fillId="8" borderId="6" xfId="0" applyFont="1" applyFill="1" applyBorder="1" applyAlignment="1">
      <alignment horizontal="left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164" fontId="26" fillId="6" borderId="6" xfId="0" applyNumberFormat="1" applyFont="1" applyFill="1" applyBorder="1" applyAlignment="1">
      <alignment horizontal="right" vertical="center"/>
    </xf>
    <xf numFmtId="165" fontId="26" fillId="6" borderId="6" xfId="0" applyNumberFormat="1" applyFont="1" applyFill="1" applyBorder="1" applyAlignment="1">
      <alignment horizontal="right" vertical="center"/>
    </xf>
    <xf numFmtId="164" fontId="4" fillId="6" borderId="6" xfId="0" applyNumberFormat="1" applyFont="1" applyFill="1" applyBorder="1" applyAlignment="1">
      <alignment horizontal="right" vertical="center"/>
    </xf>
    <xf numFmtId="169" fontId="26" fillId="6" borderId="6" xfId="0" applyNumberFormat="1" applyFont="1" applyFill="1" applyBorder="1" applyAlignment="1">
      <alignment horizontal="right" vertical="center"/>
    </xf>
    <xf numFmtId="0" fontId="26" fillId="6" borderId="6" xfId="0" applyFont="1" applyFill="1" applyBorder="1" applyAlignment="1">
      <alignment horizontal="center" vertical="center" wrapText="1"/>
    </xf>
    <xf numFmtId="0" fontId="36" fillId="5" borderId="6" xfId="0" applyFont="1" applyFill="1" applyBorder="1" applyAlignment="1">
      <alignment horizontal="left" vertical="center" wrapText="1"/>
    </xf>
    <xf numFmtId="0" fontId="4" fillId="5" borderId="6" xfId="0" applyFont="1" applyFill="1" applyBorder="1" applyAlignment="1">
      <alignment horizontal="left" vertical="center" wrapText="1"/>
    </xf>
    <xf numFmtId="164" fontId="26" fillId="5" borderId="6" xfId="0" applyNumberFormat="1" applyFont="1" applyFill="1" applyBorder="1" applyAlignment="1">
      <alignment horizontal="right" vertical="center"/>
    </xf>
    <xf numFmtId="165" fontId="26" fillId="13" borderId="6" xfId="0" applyNumberFormat="1" applyFont="1" applyFill="1" applyBorder="1" applyAlignment="1">
      <alignment horizontal="right" vertical="center"/>
    </xf>
    <xf numFmtId="165" fontId="26" fillId="5" borderId="6" xfId="0" applyNumberFormat="1" applyFont="1" applyFill="1" applyBorder="1" applyAlignment="1">
      <alignment horizontal="right" vertical="center"/>
    </xf>
    <xf numFmtId="0" fontId="25" fillId="5" borderId="6" xfId="0" applyFont="1" applyFill="1" applyBorder="1" applyAlignment="1">
      <alignment horizontal="left" vertical="center" wrapText="1"/>
    </xf>
    <xf numFmtId="0" fontId="27" fillId="5" borderId="6" xfId="0" applyFont="1" applyFill="1" applyBorder="1" applyAlignment="1">
      <alignment horizontal="left" vertical="center" wrapText="1"/>
    </xf>
    <xf numFmtId="0" fontId="4" fillId="6" borderId="6" xfId="0" applyFont="1" applyFill="1" applyBorder="1" applyAlignment="1">
      <alignment horizontal="left" vertical="center" wrapText="1"/>
    </xf>
    <xf numFmtId="0" fontId="25" fillId="6" borderId="6" xfId="0" applyFont="1" applyFill="1" applyBorder="1" applyAlignment="1">
      <alignment horizontal="left" vertical="center" wrapText="1"/>
    </xf>
    <xf numFmtId="0" fontId="27" fillId="6" borderId="6" xfId="0" applyFont="1" applyFill="1" applyBorder="1" applyAlignment="1">
      <alignment horizontal="left" vertical="center" wrapText="1"/>
    </xf>
    <xf numFmtId="164" fontId="29" fillId="12" borderId="6" xfId="0" applyNumberFormat="1" applyFont="1" applyFill="1" applyBorder="1" applyAlignment="1">
      <alignment horizontal="right" vertical="center"/>
    </xf>
    <xf numFmtId="165" fontId="29" fillId="12" borderId="6" xfId="0" applyNumberFormat="1" applyFont="1" applyFill="1" applyBorder="1" applyAlignment="1">
      <alignment horizontal="right" vertical="center"/>
    </xf>
    <xf numFmtId="0" fontId="29" fillId="6" borderId="6" xfId="0" applyFont="1" applyFill="1" applyBorder="1" applyAlignment="1">
      <alignment horizontal="left" vertical="center" wrapText="1"/>
    </xf>
    <xf numFmtId="165" fontId="37" fillId="8" borderId="6" xfId="0" applyNumberFormat="1" applyFont="1" applyFill="1" applyBorder="1" applyAlignment="1">
      <alignment horizontal="center" vertical="center" wrapText="1"/>
    </xf>
    <xf numFmtId="0" fontId="27" fillId="5" borderId="6" xfId="0" applyFont="1" applyFill="1" applyBorder="1" applyAlignment="1">
      <alignment horizontal="center" vertical="center" wrapText="1"/>
    </xf>
    <xf numFmtId="0" fontId="32" fillId="6" borderId="6" xfId="0" applyFont="1" applyFill="1" applyBorder="1" applyAlignment="1">
      <alignment horizontal="left" vertical="center" wrapText="1"/>
    </xf>
    <xf numFmtId="0" fontId="38" fillId="6" borderId="6" xfId="0" applyFont="1" applyFill="1" applyBorder="1" applyAlignment="1">
      <alignment horizontal="center" vertical="center" wrapText="1"/>
    </xf>
    <xf numFmtId="169" fontId="26" fillId="14" borderId="6" xfId="0" applyNumberFormat="1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center" vertical="center" wrapText="1"/>
    </xf>
    <xf numFmtId="0" fontId="32" fillId="5" borderId="6" xfId="0" applyFont="1" applyFill="1" applyBorder="1" applyAlignment="1">
      <alignment horizontal="left" vertical="center" wrapText="1"/>
    </xf>
    <xf numFmtId="0" fontId="38" fillId="5" borderId="6" xfId="0" applyFont="1" applyFill="1" applyBorder="1" applyAlignment="1">
      <alignment horizontal="center" vertical="center" wrapText="1"/>
    </xf>
    <xf numFmtId="164" fontId="4" fillId="5" borderId="6" xfId="0" applyNumberFormat="1" applyFont="1" applyFill="1" applyBorder="1" applyAlignment="1">
      <alignment horizontal="right" vertical="center"/>
    </xf>
    <xf numFmtId="169" fontId="33" fillId="12" borderId="6" xfId="0" applyNumberFormat="1" applyFont="1" applyFill="1" applyBorder="1" applyAlignment="1">
      <alignment horizontal="right" vertical="center"/>
    </xf>
    <xf numFmtId="0" fontId="32" fillId="5" borderId="6" xfId="0" applyFont="1" applyFill="1" applyBorder="1" applyAlignment="1">
      <alignment horizontal="right" vertical="center"/>
    </xf>
    <xf numFmtId="164" fontId="26" fillId="13" borderId="6" xfId="0" applyNumberFormat="1" applyFont="1" applyFill="1" applyBorder="1" applyAlignment="1">
      <alignment horizontal="right" vertical="center"/>
    </xf>
    <xf numFmtId="170" fontId="4" fillId="5" borderId="6" xfId="0" applyNumberFormat="1" applyFont="1" applyFill="1" applyBorder="1" applyAlignment="1">
      <alignment horizontal="right" vertical="center"/>
    </xf>
    <xf numFmtId="169" fontId="26" fillId="5" borderId="6" xfId="0" applyNumberFormat="1" applyFont="1" applyFill="1" applyBorder="1" applyAlignment="1">
      <alignment horizontal="right" vertical="center"/>
    </xf>
    <xf numFmtId="0" fontId="31" fillId="5" borderId="6" xfId="0" applyFont="1" applyFill="1" applyBorder="1" applyAlignment="1">
      <alignment horizontal="left" vertical="center" wrapText="1"/>
    </xf>
    <xf numFmtId="0" fontId="32" fillId="6" borderId="6" xfId="0" applyFont="1" applyFill="1" applyBorder="1" applyAlignment="1">
      <alignment horizontal="right" vertical="center"/>
    </xf>
    <xf numFmtId="170" fontId="4" fillId="6" borderId="6" xfId="0" applyNumberFormat="1" applyFont="1" applyFill="1" applyBorder="1" applyAlignment="1">
      <alignment horizontal="right" vertical="center"/>
    </xf>
    <xf numFmtId="0" fontId="31" fillId="6" borderId="6" xfId="0" applyFont="1" applyFill="1" applyBorder="1" applyAlignment="1">
      <alignment horizontal="left" vertical="center" wrapText="1"/>
    </xf>
    <xf numFmtId="0" fontId="32" fillId="15" borderId="6" xfId="0" applyFont="1" applyFill="1" applyBorder="1" applyAlignment="1">
      <alignment horizontal="center" vertical="center" wrapText="1"/>
    </xf>
    <xf numFmtId="0" fontId="32" fillId="15" borderId="6" xfId="0" applyFont="1" applyFill="1" applyBorder="1" applyAlignment="1">
      <alignment horizontal="right" vertical="center"/>
    </xf>
    <xf numFmtId="0" fontId="38" fillId="15" borderId="6" xfId="0" applyFont="1" applyFill="1" applyBorder="1" applyAlignment="1">
      <alignment horizontal="center" vertical="center" wrapText="1"/>
    </xf>
    <xf numFmtId="164" fontId="26" fillId="15" borderId="6" xfId="0" applyNumberFormat="1" applyFont="1" applyFill="1" applyBorder="1" applyAlignment="1">
      <alignment horizontal="right" vertical="center"/>
    </xf>
    <xf numFmtId="170" fontId="4" fillId="15" borderId="6" xfId="0" applyNumberFormat="1" applyFont="1" applyFill="1" applyBorder="1" applyAlignment="1">
      <alignment horizontal="right" vertical="center"/>
    </xf>
    <xf numFmtId="164" fontId="4" fillId="15" borderId="6" xfId="0" applyNumberFormat="1" applyFont="1" applyFill="1" applyBorder="1" applyAlignment="1">
      <alignment horizontal="right" vertical="center"/>
    </xf>
    <xf numFmtId="164" fontId="26" fillId="14" borderId="6" xfId="0" applyNumberFormat="1" applyFont="1" applyFill="1" applyBorder="1" applyAlignment="1">
      <alignment horizontal="right" vertical="center"/>
    </xf>
    <xf numFmtId="169" fontId="26" fillId="15" borderId="6" xfId="0" applyNumberFormat="1" applyFont="1" applyFill="1" applyBorder="1" applyAlignment="1">
      <alignment horizontal="right" vertical="center"/>
    </xf>
    <xf numFmtId="0" fontId="31" fillId="15" borderId="6" xfId="0" applyFont="1" applyFill="1" applyBorder="1" applyAlignment="1">
      <alignment horizontal="left" vertical="center" wrapText="1"/>
    </xf>
    <xf numFmtId="0" fontId="33" fillId="13" borderId="6" xfId="0" applyFont="1" applyFill="1" applyBorder="1" applyAlignment="1">
      <alignment horizontal="left" vertical="center" wrapText="1"/>
    </xf>
    <xf numFmtId="164" fontId="39" fillId="13" borderId="6" xfId="0" applyNumberFormat="1" applyFont="1" applyFill="1" applyBorder="1" applyAlignment="1">
      <alignment horizontal="center" vertical="center" wrapText="1"/>
    </xf>
    <xf numFmtId="0" fontId="33" fillId="14" borderId="6" xfId="0" applyFont="1" applyFill="1" applyBorder="1" applyAlignment="1">
      <alignment horizontal="left" vertical="center" wrapText="1"/>
    </xf>
    <xf numFmtId="164" fontId="39" fillId="14" borderId="6" xfId="0" applyNumberFormat="1" applyFont="1" applyFill="1" applyBorder="1" applyAlignment="1">
      <alignment horizontal="center" vertical="center" wrapText="1"/>
    </xf>
    <xf numFmtId="0" fontId="33" fillId="12" borderId="6" xfId="0" applyFont="1" applyFill="1" applyBorder="1" applyAlignment="1">
      <alignment horizontal="left" vertical="center" wrapText="1"/>
    </xf>
    <xf numFmtId="164" fontId="39" fillId="12" borderId="6" xfId="0" applyNumberFormat="1" applyFont="1" applyFill="1" applyBorder="1" applyAlignment="1">
      <alignment horizontal="center" vertical="center" wrapText="1"/>
    </xf>
    <xf numFmtId="0" fontId="33" fillId="5" borderId="6" xfId="0" applyFont="1" applyFill="1" applyBorder="1" applyAlignment="1">
      <alignment horizontal="left" vertical="center" wrapText="1"/>
    </xf>
    <xf numFmtId="164" fontId="39" fillId="5" borderId="6" xfId="0" applyNumberFormat="1" applyFont="1" applyFill="1" applyBorder="1" applyAlignment="1">
      <alignment horizontal="center" vertical="center" wrapText="1"/>
    </xf>
    <xf numFmtId="169" fontId="39" fillId="13" borderId="6" xfId="0" applyNumberFormat="1" applyFont="1" applyFill="1" applyBorder="1" applyAlignment="1">
      <alignment horizontal="center" vertical="center" wrapText="1"/>
    </xf>
    <xf numFmtId="0" fontId="37" fillId="8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12" fillId="4" borderId="6" xfId="0" applyFont="1" applyFill="1" applyBorder="1" applyAlignment="1">
      <alignment horizontal="left" vertical="center" wrapText="1"/>
    </xf>
    <xf numFmtId="164" fontId="13" fillId="5" borderId="6" xfId="0" applyNumberFormat="1" applyFont="1" applyFill="1" applyBorder="1" applyAlignment="1">
      <alignment horizontal="left" vertical="center"/>
    </xf>
    <xf numFmtId="164" fontId="13" fillId="6" borderId="6" xfId="0" applyNumberFormat="1" applyFont="1" applyFill="1" applyBorder="1" applyAlignment="1">
      <alignment horizontal="left" vertical="center"/>
    </xf>
    <xf numFmtId="164" fontId="3" fillId="8" borderId="6" xfId="0" applyNumberFormat="1" applyFont="1" applyFill="1" applyBorder="1" applyAlignment="1">
      <alignment horizontal="left" vertical="center"/>
    </xf>
    <xf numFmtId="166" fontId="4" fillId="3" borderId="6" xfId="0" applyNumberFormat="1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164" fontId="4" fillId="3" borderId="6" xfId="0" applyNumberFormat="1" applyFont="1" applyFill="1" applyBorder="1" applyAlignment="1">
      <alignment horizontal="left" vertical="center"/>
    </xf>
    <xf numFmtId="0" fontId="7" fillId="5" borderId="6" xfId="0" applyFont="1" applyFill="1" applyBorder="1" applyAlignment="1">
      <alignment horizontal="left" vertical="center" wrapText="1"/>
    </xf>
    <xf numFmtId="0" fontId="7" fillId="6" borderId="6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Ausgabe" xfId="1" builtinId="21"/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1121F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B3B3B3"/>
      <rgbColor rgb="FF808080"/>
      <rgbColor rgb="FF9999FF"/>
      <rgbColor rgb="FF993366"/>
      <rgbColor rgb="FFFEF9C3"/>
      <rgbColor rgb="FFEFF6FF"/>
      <rgbColor rgb="FF660066"/>
      <rgbColor rgb="FFFF8080"/>
      <rgbColor rgb="FF334155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D1FAE5"/>
      <rgbColor rgb="FFFEF3C7"/>
      <rgbColor rgb="FFA8DADC"/>
      <rgbColor rgb="FFFFF8E7"/>
      <rgbColor rgb="FFF8FAFC"/>
      <rgbColor rgb="FFD9D9D9"/>
      <rgbColor rgb="FF2563EB"/>
      <rgbColor rgb="FF33CCCC"/>
      <rgbColor rgb="FF99CC00"/>
      <rgbColor rgb="FFFFCC00"/>
      <rgbColor rgb="FFFF9900"/>
      <rgbColor rgb="FFFF6600"/>
      <rgbColor rgb="FF64748B"/>
      <rgbColor rgb="FF94A3B8"/>
      <rgbColor rgb="FF1D3557"/>
      <rgbColor rgb="FF457B9D"/>
      <rgbColor rgb="FF006400"/>
      <rgbColor rgb="FF374151"/>
      <rgbColor rgb="FF92400E"/>
      <rgbColor rgb="FF993366"/>
      <rgbColor rgb="FF1E3A5F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Umsatz &amp; Bruttoergebnis / Revenue &amp; Gross Profit (2011–2016)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'📋 Annual Closing'!$C$7</c:f>
              <c:strCache>
                <c:ptCount val="1"/>
                <c:pt idx="0">
                  <c:v>Umsatz
(Revenue)</c:v>
                </c:pt>
              </c:strCache>
            </c:strRef>
          </c:tx>
          <c:spPr>
            <a:solidFill>
              <a:srgbClr val="1D3557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'📋 Annual Closing'!$B$8:$B$13</c:f>
              <c:numCache>
                <c:formatCode>General</c:formatCod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'📋 Annual Closing'!$C$8:$C$13</c:f>
              <c:numCache>
                <c:formatCode>#,##0;\(#,##0\);\-</c:formatCode>
                <c:ptCount val="6"/>
                <c:pt idx="0">
                  <c:v>8964888</c:v>
                </c:pt>
                <c:pt idx="1">
                  <c:v>9175983</c:v>
                </c:pt>
                <c:pt idx="2">
                  <c:v>15240037</c:v>
                </c:pt>
                <c:pt idx="3">
                  <c:v>14152724</c:v>
                </c:pt>
                <c:pt idx="4">
                  <c:v>20023991</c:v>
                </c:pt>
                <c:pt idx="5">
                  <c:v>17713385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2-48EF-9E9D-12FE32AF9E3E}"/>
            </c:ext>
          </c:extLst>
        </c:ser>
        <c:ser>
          <c:idx val="1"/>
          <c:order val="1"/>
          <c:tx>
            <c:strRef>
              <c:f>'📋 Annual Closing'!$E$7</c:f>
              <c:strCache>
                <c:ptCount val="1"/>
                <c:pt idx="0">
                  <c:v>Bruttoergebnis
(Gross Profit)</c:v>
                </c:pt>
              </c:strCache>
            </c:strRef>
          </c:tx>
          <c:spPr>
            <a:solidFill>
              <a:srgbClr val="A8DADC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'📋 Annual Closing'!$B$8:$B$13</c:f>
              <c:numCache>
                <c:formatCode>General</c:formatCod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'📋 Annual Closing'!$E$8:$E$13</c:f>
              <c:numCache>
                <c:formatCode>#,##0;\(#,##0\);\-</c:formatCode>
                <c:ptCount val="6"/>
                <c:pt idx="0">
                  <c:v>2881301</c:v>
                </c:pt>
                <c:pt idx="1">
                  <c:v>2951993</c:v>
                </c:pt>
                <c:pt idx="2">
                  <c:v>5959208</c:v>
                </c:pt>
                <c:pt idx="3">
                  <c:v>5864087</c:v>
                </c:pt>
                <c:pt idx="4">
                  <c:v>7528563</c:v>
                </c:pt>
                <c:pt idx="5">
                  <c:v>7035948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02-48EF-9E9D-12FE32AF9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836436"/>
        <c:axId val="95698991"/>
      </c:barChart>
      <c:catAx>
        <c:axId val="558364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Geschäftsjahr / 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698991"/>
        <c:crosses val="autoZero"/>
        <c:auto val="1"/>
        <c:lblAlgn val="ctr"/>
        <c:lblOffset val="100"/>
        <c:noMultiLvlLbl val="0"/>
      </c:catAx>
      <c:valAx>
        <c:axId val="9569899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8364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Bruttomarge % / Gross Margin % (2011–2016)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'📋 Annual Closing'!$F$7</c:f>
              <c:strCache>
                <c:ptCount val="1"/>
                <c:pt idx="0">
                  <c:v>Brutto-
marge %</c:v>
                </c:pt>
              </c:strCache>
            </c:strRef>
          </c:tx>
          <c:spPr>
            <a:ln w="24840">
              <a:solidFill>
                <a:srgbClr val="2D6A4F"/>
              </a:solidFill>
              <a:round/>
            </a:ln>
          </c:spPr>
          <c:marker>
            <c:symbol val="circle"/>
            <c:size val="8"/>
            <c:spPr>
              <a:solidFill>
                <a:srgbClr val="2D6A4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'📋 Annual Closing'!$B$8:$B$13</c:f>
              <c:numCache>
                <c:formatCode>General</c:formatCod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'📋 Annual Closing'!$F$8:$F$13</c:f>
              <c:numCache>
                <c:formatCode>0.0%;\(0.0%\);\-</c:formatCode>
                <c:ptCount val="6"/>
                <c:pt idx="0">
                  <c:v>0.32139843799498669</c:v>
                </c:pt>
                <c:pt idx="1">
                  <c:v>0.32170863873658007</c:v>
                </c:pt>
                <c:pt idx="2">
                  <c:v>0.39102319764709231</c:v>
                </c:pt>
                <c:pt idx="3">
                  <c:v>0.41434334478648777</c:v>
                </c:pt>
                <c:pt idx="4">
                  <c:v>0.37597714661377946</c:v>
                </c:pt>
                <c:pt idx="5">
                  <c:v>0.39721080979157852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5BB-4B01-AC5B-EC918BC51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3076487"/>
        <c:axId val="25067206"/>
      </c:lineChart>
      <c:catAx>
        <c:axId val="730764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Geschäftsjahr / 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067206"/>
        <c:crosses val="autoZero"/>
        <c:auto val="1"/>
        <c:lblAlgn val="ctr"/>
        <c:lblOffset val="100"/>
        <c:noMultiLvlLbl val="0"/>
      </c:catAx>
      <c:valAx>
        <c:axId val="2506720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0764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Plan-Abweichung % / Budget Variance % (2011–2016)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'📋 Annual Closing'!$I$7</c:f>
              <c:strCache>
                <c:ptCount val="1"/>
                <c:pt idx="0">
                  <c:v>Plan-Abw.%
(Var.%)</c:v>
                </c:pt>
              </c:strCache>
            </c:strRef>
          </c:tx>
          <c:spPr>
            <a:solidFill>
              <a:srgbClr val="457B9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'📋 Annual Closing'!$B$8:$B$13</c:f>
              <c:numCache>
                <c:formatCode>General</c:formatCod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'📋 Annual Closing'!$I$8:$I$13</c:f>
              <c:numCache>
                <c:formatCode>0.0%;\(0.0%\);\-</c:formatCode>
                <c:ptCount val="6"/>
                <c:pt idx="0">
                  <c:v>-2.2522780707001852E-3</c:v>
                </c:pt>
                <c:pt idx="1">
                  <c:v>-9.0850423770843527E-4</c:v>
                </c:pt>
                <c:pt idx="2">
                  <c:v>-6.0737218150158905E-4</c:v>
                </c:pt>
                <c:pt idx="3">
                  <c:v>-5.6804828664659994E-4</c:v>
                </c:pt>
                <c:pt idx="4">
                  <c:v>5.8299076109301449E-4</c:v>
                </c:pt>
                <c:pt idx="5">
                  <c:v>-6.166106061989197E-4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8-41ED-ACF6-9321DFAB3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328746"/>
        <c:axId val="66244746"/>
      </c:barChart>
      <c:catAx>
        <c:axId val="263287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Geschäftsjahr / 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244746"/>
        <c:crosses val="autoZero"/>
        <c:auto val="1"/>
        <c:lblAlgn val="ctr"/>
        <c:lblOffset val="100"/>
        <c:noMultiLvlLbl val="0"/>
      </c:catAx>
      <c:valAx>
        <c:axId val="662447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3287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Umsatzwachstum YoY % / Revenue Growth YoY % (2012–2016)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'📋 Annual Closing'!$J$7</c:f>
              <c:strCache>
                <c:ptCount val="1"/>
                <c:pt idx="0">
                  <c:v>YoY Umsatz
Wachstum %</c:v>
                </c:pt>
              </c:strCache>
            </c:strRef>
          </c:tx>
          <c:spPr>
            <a:ln w="24840">
              <a:solidFill>
                <a:srgbClr val="C1121F"/>
              </a:solidFill>
              <a:round/>
            </a:ln>
          </c:spPr>
          <c:marker>
            <c:symbol val="diamond"/>
            <c:size val="8"/>
            <c:spPr>
              <a:solidFill>
                <a:srgbClr val="C1121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'📋 Annual Closing'!$B$8:$B$13</c:f>
              <c:numCache>
                <c:formatCode>General</c:formatCod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'📋 Annual Closing'!$J$8:$J$13</c:f>
              <c:numCache>
                <c:formatCode>0.0%;\(0.0%\);\-</c:formatCode>
                <c:ptCount val="6"/>
                <c:pt idx="0" formatCode="General">
                  <c:v>0</c:v>
                </c:pt>
                <c:pt idx="1">
                  <c:v>2.3546864166066547E-2</c:v>
                </c:pt>
                <c:pt idx="2">
                  <c:v>0.66086151205816313</c:v>
                </c:pt>
                <c:pt idx="3">
                  <c:v>-7.1345824160400667E-2</c:v>
                </c:pt>
                <c:pt idx="4">
                  <c:v>0.41485066761706085</c:v>
                </c:pt>
                <c:pt idx="5">
                  <c:v>-0.11539188166834474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90C-4A39-A867-3A3A181C6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9637666"/>
        <c:axId val="19669003"/>
      </c:lineChart>
      <c:catAx>
        <c:axId val="496376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Geschäftsjahr / 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669003"/>
        <c:crosses val="autoZero"/>
        <c:auto val="1"/>
        <c:lblAlgn val="ctr"/>
        <c:lblOffset val="100"/>
        <c:noMultiLvlLbl val="0"/>
      </c:catAx>
      <c:valAx>
        <c:axId val="1966900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6376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6</xdr:col>
      <xdr:colOff>202620</xdr:colOff>
      <xdr:row>46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219075</xdr:colOff>
      <xdr:row>24</xdr:row>
      <xdr:rowOff>9525</xdr:rowOff>
    </xdr:from>
    <xdr:to>
      <xdr:col>13</xdr:col>
      <xdr:colOff>425880</xdr:colOff>
      <xdr:row>46</xdr:row>
      <xdr:rowOff>138045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46</xdr:row>
      <xdr:rowOff>123824</xdr:rowOff>
    </xdr:from>
    <xdr:to>
      <xdr:col>6</xdr:col>
      <xdr:colOff>202620</xdr:colOff>
      <xdr:row>66</xdr:row>
      <xdr:rowOff>128519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219076</xdr:colOff>
      <xdr:row>46</xdr:row>
      <xdr:rowOff>123825</xdr:rowOff>
    </xdr:from>
    <xdr:to>
      <xdr:col>13</xdr:col>
      <xdr:colOff>438150</xdr:colOff>
      <xdr:row>66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zoomScaleNormal="100" workbookViewId="0">
      <pane ySplit="5" topLeftCell="A6" activePane="bottomLeft" state="frozen"/>
      <selection pane="bottomLeft" activeCell="C7" sqref="C7"/>
    </sheetView>
  </sheetViews>
  <sheetFormatPr baseColWidth="10" defaultColWidth="8.7109375" defaultRowHeight="15" x14ac:dyDescent="0.25"/>
  <cols>
    <col min="1" max="1" width="5" customWidth="1"/>
    <col min="2" max="2" width="28" customWidth="1"/>
    <col min="3" max="3" width="42" customWidth="1"/>
    <col min="4" max="4" width="18" customWidth="1"/>
    <col min="5" max="5" width="10" customWidth="1"/>
    <col min="6" max="6" width="30" customWidth="1"/>
    <col min="7" max="7" width="12" customWidth="1"/>
    <col min="8" max="8" width="30" customWidth="1"/>
  </cols>
  <sheetData>
    <row r="1" spans="1:8" ht="30" customHeight="1" x14ac:dyDescent="0.25">
      <c r="A1" s="33" t="s">
        <v>0</v>
      </c>
      <c r="B1" s="33"/>
      <c r="C1" s="33"/>
      <c r="D1" s="33"/>
      <c r="E1" s="33"/>
      <c r="F1" s="33"/>
      <c r="G1" s="33"/>
      <c r="H1" s="33"/>
    </row>
    <row r="2" spans="1:8" ht="18" customHeight="1" x14ac:dyDescent="0.25">
      <c r="A2" s="34" t="s">
        <v>1</v>
      </c>
      <c r="B2" s="34"/>
      <c r="C2" s="34"/>
      <c r="D2" s="34"/>
      <c r="E2" s="34"/>
      <c r="F2" s="34"/>
      <c r="G2" s="34"/>
      <c r="H2" s="34"/>
    </row>
    <row r="3" spans="1:8" ht="19.5" customHeight="1" x14ac:dyDescent="0.25">
      <c r="A3" s="35" t="s">
        <v>2</v>
      </c>
      <c r="B3" s="35"/>
      <c r="C3" s="35"/>
      <c r="D3" s="1" t="s">
        <v>3</v>
      </c>
      <c r="E3" s="36" t="s">
        <v>4</v>
      </c>
      <c r="F3" s="36"/>
      <c r="G3" s="36"/>
      <c r="H3" s="36"/>
    </row>
    <row r="4" spans="1:8" ht="6" customHeight="1" x14ac:dyDescent="0.25"/>
    <row r="5" spans="1:8" ht="24" customHeight="1" x14ac:dyDescent="0.25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</row>
    <row r="6" spans="1:8" ht="48" customHeight="1" x14ac:dyDescent="0.25">
      <c r="A6" s="3">
        <v>1</v>
      </c>
      <c r="B6" s="4" t="s">
        <v>13</v>
      </c>
      <c r="C6" s="4" t="s">
        <v>14</v>
      </c>
      <c r="D6" s="4" t="s">
        <v>15</v>
      </c>
      <c r="E6" s="3" t="s">
        <v>16</v>
      </c>
      <c r="F6" s="4" t="s">
        <v>17</v>
      </c>
      <c r="G6" s="5" t="s">
        <v>457</v>
      </c>
      <c r="H6" s="4"/>
    </row>
    <row r="7" spans="1:8" ht="48" customHeight="1" x14ac:dyDescent="0.25">
      <c r="A7" s="6">
        <v>2</v>
      </c>
      <c r="B7" s="7" t="s">
        <v>18</v>
      </c>
      <c r="C7" s="7" t="s">
        <v>19</v>
      </c>
      <c r="D7" s="7" t="s">
        <v>15</v>
      </c>
      <c r="E7" s="6" t="s">
        <v>20</v>
      </c>
      <c r="F7" s="7" t="s">
        <v>21</v>
      </c>
      <c r="G7" s="5" t="s">
        <v>457</v>
      </c>
      <c r="H7" s="7"/>
    </row>
    <row r="8" spans="1:8" ht="48" customHeight="1" x14ac:dyDescent="0.25">
      <c r="A8" s="3">
        <v>3</v>
      </c>
      <c r="B8" s="4" t="s">
        <v>22</v>
      </c>
      <c r="C8" s="4" t="s">
        <v>23</v>
      </c>
      <c r="D8" s="4" t="s">
        <v>15</v>
      </c>
      <c r="E8" s="3" t="s">
        <v>20</v>
      </c>
      <c r="F8" s="4" t="s">
        <v>24</v>
      </c>
      <c r="G8" s="5" t="s">
        <v>457</v>
      </c>
      <c r="H8" s="4"/>
    </row>
    <row r="9" spans="1:8" ht="48" customHeight="1" x14ac:dyDescent="0.25">
      <c r="A9" s="6">
        <v>4</v>
      </c>
      <c r="B9" s="7" t="s">
        <v>25</v>
      </c>
      <c r="C9" s="7" t="s">
        <v>26</v>
      </c>
      <c r="D9" s="7" t="s">
        <v>15</v>
      </c>
      <c r="E9" s="6" t="s">
        <v>27</v>
      </c>
      <c r="F9" s="7" t="s">
        <v>28</v>
      </c>
      <c r="G9" s="5" t="s">
        <v>457</v>
      </c>
      <c r="H9" s="7"/>
    </row>
    <row r="10" spans="1:8" ht="48" customHeight="1" x14ac:dyDescent="0.25">
      <c r="A10" s="3">
        <v>5</v>
      </c>
      <c r="B10" s="4" t="s">
        <v>29</v>
      </c>
      <c r="C10" s="4" t="s">
        <v>30</v>
      </c>
      <c r="D10" s="4" t="s">
        <v>31</v>
      </c>
      <c r="E10" s="3" t="s">
        <v>27</v>
      </c>
      <c r="F10" s="4" t="s">
        <v>32</v>
      </c>
      <c r="G10" s="5" t="s">
        <v>457</v>
      </c>
      <c r="H10" s="4"/>
    </row>
    <row r="11" spans="1:8" ht="48" customHeight="1" x14ac:dyDescent="0.25">
      <c r="A11" s="6">
        <v>6</v>
      </c>
      <c r="B11" s="7" t="s">
        <v>33</v>
      </c>
      <c r="C11" s="7" t="s">
        <v>34</v>
      </c>
      <c r="D11" s="7" t="s">
        <v>31</v>
      </c>
      <c r="E11" s="6" t="s">
        <v>27</v>
      </c>
      <c r="F11" s="7" t="s">
        <v>35</v>
      </c>
      <c r="G11" s="5" t="s">
        <v>457</v>
      </c>
      <c r="H11" s="7"/>
    </row>
    <row r="12" spans="1:8" ht="48" customHeight="1" x14ac:dyDescent="0.25">
      <c r="A12" s="3">
        <v>7</v>
      </c>
      <c r="B12" s="4" t="s">
        <v>36</v>
      </c>
      <c r="C12" s="4" t="s">
        <v>37</v>
      </c>
      <c r="D12" s="4" t="s">
        <v>38</v>
      </c>
      <c r="E12" s="3" t="s">
        <v>39</v>
      </c>
      <c r="F12" s="4" t="s">
        <v>40</v>
      </c>
      <c r="G12" s="5" t="s">
        <v>457</v>
      </c>
      <c r="H12" s="4"/>
    </row>
    <row r="13" spans="1:8" ht="48" customHeight="1" x14ac:dyDescent="0.25">
      <c r="A13" s="6">
        <v>8</v>
      </c>
      <c r="B13" s="7" t="s">
        <v>41</v>
      </c>
      <c r="C13" s="7" t="s">
        <v>42</v>
      </c>
      <c r="D13" s="7" t="s">
        <v>31</v>
      </c>
      <c r="E13" s="6" t="s">
        <v>39</v>
      </c>
      <c r="F13" s="7" t="s">
        <v>43</v>
      </c>
      <c r="G13" s="5" t="s">
        <v>457</v>
      </c>
      <c r="H13" s="7"/>
    </row>
    <row r="14" spans="1:8" ht="48" customHeight="1" x14ac:dyDescent="0.25">
      <c r="A14" s="3">
        <v>9</v>
      </c>
      <c r="B14" s="4" t="s">
        <v>44</v>
      </c>
      <c r="C14" s="4" t="s">
        <v>45</v>
      </c>
      <c r="D14" s="4" t="s">
        <v>15</v>
      </c>
      <c r="E14" s="3" t="s">
        <v>46</v>
      </c>
      <c r="F14" s="4" t="s">
        <v>47</v>
      </c>
      <c r="G14" s="5" t="s">
        <v>457</v>
      </c>
      <c r="H14" s="4"/>
    </row>
    <row r="16" spans="1:8" ht="36" customHeight="1" x14ac:dyDescent="0.25">
      <c r="A16" s="37" t="s">
        <v>48</v>
      </c>
      <c r="B16" s="37"/>
      <c r="C16" s="37"/>
      <c r="D16" s="37"/>
      <c r="E16" s="37"/>
      <c r="F16" s="37"/>
      <c r="G16" s="37"/>
      <c r="H16" s="37"/>
    </row>
  </sheetData>
  <mergeCells count="5">
    <mergeCell ref="A1:H1"/>
    <mergeCell ref="A2:H2"/>
    <mergeCell ref="A3:C3"/>
    <mergeCell ref="E3:H3"/>
    <mergeCell ref="A16:H16"/>
  </mergeCells>
  <dataValidations count="1">
    <dataValidation type="list" sqref="G6:G14" xr:uid="{00000000-0002-0000-0000-000000000000}">
      <formula1>"✅ Erledigt,🔄 In Bearbeitung,⏳ Pending,❌ Offen"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showGridLines="0" tabSelected="1" zoomScaleNormal="100" workbookViewId="0">
      <pane ySplit="6" topLeftCell="A7" activePane="bottomLeft" state="frozen"/>
      <selection pane="bottomLeft" activeCell="A21" sqref="A21:M21"/>
    </sheetView>
  </sheetViews>
  <sheetFormatPr baseColWidth="10" defaultColWidth="8.7109375" defaultRowHeight="15" x14ac:dyDescent="0.25"/>
  <cols>
    <col min="1" max="1" width="7" customWidth="1"/>
    <col min="2" max="2" width="12" customWidth="1"/>
    <col min="3" max="5" width="14" customWidth="1"/>
    <col min="6" max="6" width="10" customWidth="1"/>
    <col min="7" max="7" width="14" customWidth="1"/>
    <col min="8" max="8" width="13" customWidth="1"/>
    <col min="9" max="9" width="10" customWidth="1"/>
    <col min="10" max="10" width="6" customWidth="1"/>
    <col min="11" max="12" width="13" customWidth="1"/>
    <col min="13" max="13" width="15" customWidth="1"/>
  </cols>
  <sheetData>
    <row r="1" spans="1:13" ht="27.75" customHeight="1" x14ac:dyDescent="0.25">
      <c r="A1" s="38" t="s">
        <v>49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3" ht="15.75" customHeight="1" x14ac:dyDescent="0.25">
      <c r="A2" s="39" t="s">
        <v>50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4" spans="1:13" ht="27.75" customHeight="1" x14ac:dyDescent="0.25">
      <c r="A4" s="40" t="s">
        <v>51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1:13" ht="15.75" customHeight="1" x14ac:dyDescent="0.25">
      <c r="A5" s="41" t="s">
        <v>52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</row>
    <row r="6" spans="1:13" ht="36" customHeight="1" x14ac:dyDescent="0.25">
      <c r="A6" s="8" t="s">
        <v>53</v>
      </c>
      <c r="B6" s="8" t="s">
        <v>54</v>
      </c>
      <c r="C6" s="8" t="s">
        <v>55</v>
      </c>
      <c r="D6" s="8" t="s">
        <v>56</v>
      </c>
      <c r="E6" s="8" t="s">
        <v>57</v>
      </c>
      <c r="F6" s="8" t="s">
        <v>58</v>
      </c>
      <c r="G6" s="8" t="s">
        <v>59</v>
      </c>
      <c r="H6" s="8" t="s">
        <v>60</v>
      </c>
      <c r="I6" s="8" t="s">
        <v>61</v>
      </c>
      <c r="J6" s="8" t="s">
        <v>62</v>
      </c>
      <c r="K6" s="8" t="s">
        <v>63</v>
      </c>
      <c r="L6" s="8" t="s">
        <v>64</v>
      </c>
      <c r="M6" s="8" t="s">
        <v>65</v>
      </c>
    </row>
    <row r="7" spans="1:13" ht="18" customHeight="1" x14ac:dyDescent="0.25">
      <c r="A7" s="5">
        <v>2015</v>
      </c>
      <c r="B7" s="5" t="s">
        <v>66</v>
      </c>
      <c r="C7" s="9">
        <v>666938</v>
      </c>
      <c r="D7" s="9">
        <v>447744</v>
      </c>
      <c r="E7" s="10">
        <f t="shared" ref="E7:E19" si="0">C7-D7</f>
        <v>219194</v>
      </c>
      <c r="F7" s="11">
        <f t="shared" ref="F7:F19" si="1">IF(C7&lt;&gt;0,E7/C7,0)</f>
        <v>0.32865723650474254</v>
      </c>
      <c r="G7" s="9">
        <v>665780</v>
      </c>
      <c r="H7" s="10">
        <f t="shared" ref="H7:H19" si="2">C7-G7</f>
        <v>1158</v>
      </c>
      <c r="I7" s="11">
        <f t="shared" ref="I7:I19" si="3">IF(G7&lt;&gt;0,H7/G7,0)</f>
        <v>1.7393132866712728E-3</v>
      </c>
      <c r="J7" s="12" t="str">
        <f t="shared" ref="J7:J19" si="4">IF(I7&gt;=0.03,"🟢",IF(I7&gt;=-0.03,"🟡","🔴"))</f>
        <v>🟡</v>
      </c>
      <c r="K7" s="10">
        <f t="shared" ref="K7:K18" si="5">ROUND(C7*0.05,0)</f>
        <v>33347</v>
      </c>
      <c r="L7" s="10">
        <f t="shared" ref="L7:L18" si="6">ROUND(D7*0.03,0)</f>
        <v>13432</v>
      </c>
      <c r="M7" s="10">
        <f t="shared" ref="M7:M18" si="7">E7-K7+L7</f>
        <v>199279</v>
      </c>
    </row>
    <row r="8" spans="1:13" ht="18" customHeight="1" x14ac:dyDescent="0.25">
      <c r="A8" s="5">
        <v>2015</v>
      </c>
      <c r="B8" s="5" t="s">
        <v>67</v>
      </c>
      <c r="C8" s="9">
        <v>679246</v>
      </c>
      <c r="D8" s="9">
        <v>458635</v>
      </c>
      <c r="E8" s="10">
        <f t="shared" si="0"/>
        <v>220611</v>
      </c>
      <c r="F8" s="11">
        <f t="shared" si="1"/>
        <v>0.32478807383481095</v>
      </c>
      <c r="G8" s="9">
        <v>672878</v>
      </c>
      <c r="H8" s="10">
        <f t="shared" si="2"/>
        <v>6368</v>
      </c>
      <c r="I8" s="11">
        <f t="shared" si="3"/>
        <v>9.4638255374674164E-3</v>
      </c>
      <c r="J8" s="12" t="str">
        <f t="shared" si="4"/>
        <v>🟡</v>
      </c>
      <c r="K8" s="10">
        <f t="shared" si="5"/>
        <v>33962</v>
      </c>
      <c r="L8" s="10">
        <f t="shared" si="6"/>
        <v>13759</v>
      </c>
      <c r="M8" s="10">
        <f t="shared" si="7"/>
        <v>200408</v>
      </c>
    </row>
    <row r="9" spans="1:13" ht="18" customHeight="1" x14ac:dyDescent="0.25">
      <c r="A9" s="5">
        <v>2015</v>
      </c>
      <c r="B9" s="5" t="s">
        <v>68</v>
      </c>
      <c r="C9" s="9">
        <v>714008</v>
      </c>
      <c r="D9" s="9">
        <v>477922</v>
      </c>
      <c r="E9" s="10">
        <f t="shared" si="0"/>
        <v>236086</v>
      </c>
      <c r="F9" s="11">
        <f t="shared" si="1"/>
        <v>0.33064895631421498</v>
      </c>
      <c r="G9" s="9">
        <v>712079</v>
      </c>
      <c r="H9" s="10">
        <f t="shared" si="2"/>
        <v>1929</v>
      </c>
      <c r="I9" s="11">
        <f t="shared" si="3"/>
        <v>2.7089690891038774E-3</v>
      </c>
      <c r="J9" s="12" t="str">
        <f t="shared" si="4"/>
        <v>🟡</v>
      </c>
      <c r="K9" s="10">
        <f t="shared" si="5"/>
        <v>35700</v>
      </c>
      <c r="L9" s="10">
        <f t="shared" si="6"/>
        <v>14338</v>
      </c>
      <c r="M9" s="10">
        <f t="shared" si="7"/>
        <v>214724</v>
      </c>
    </row>
    <row r="10" spans="1:13" ht="18" customHeight="1" x14ac:dyDescent="0.25">
      <c r="A10" s="5">
        <v>2015</v>
      </c>
      <c r="B10" s="5" t="s">
        <v>69</v>
      </c>
      <c r="C10" s="9">
        <v>734608</v>
      </c>
      <c r="D10" s="9">
        <v>497020</v>
      </c>
      <c r="E10" s="10">
        <f t="shared" si="0"/>
        <v>237588</v>
      </c>
      <c r="F10" s="11">
        <f t="shared" si="1"/>
        <v>0.32342147104305968</v>
      </c>
      <c r="G10" s="9">
        <v>728736</v>
      </c>
      <c r="H10" s="10">
        <f t="shared" si="2"/>
        <v>5872</v>
      </c>
      <c r="I10" s="11">
        <f t="shared" si="3"/>
        <v>8.0577877310850574E-3</v>
      </c>
      <c r="J10" s="12" t="str">
        <f t="shared" si="4"/>
        <v>🟡</v>
      </c>
      <c r="K10" s="10">
        <f t="shared" si="5"/>
        <v>36730</v>
      </c>
      <c r="L10" s="10">
        <f t="shared" si="6"/>
        <v>14911</v>
      </c>
      <c r="M10" s="10">
        <f t="shared" si="7"/>
        <v>215769</v>
      </c>
    </row>
    <row r="11" spans="1:13" ht="18" customHeight="1" x14ac:dyDescent="0.25">
      <c r="A11" s="5">
        <v>2015</v>
      </c>
      <c r="B11" s="5" t="s">
        <v>70</v>
      </c>
      <c r="C11" s="9">
        <v>895043</v>
      </c>
      <c r="D11" s="9">
        <v>597749</v>
      </c>
      <c r="E11" s="10">
        <f t="shared" si="0"/>
        <v>297294</v>
      </c>
      <c r="F11" s="11">
        <f t="shared" si="1"/>
        <v>0.33215610870092277</v>
      </c>
      <c r="G11" s="9">
        <v>901206</v>
      </c>
      <c r="H11" s="10">
        <f t="shared" si="2"/>
        <v>-6163</v>
      </c>
      <c r="I11" s="11">
        <f t="shared" si="3"/>
        <v>-6.8386140349709166E-3</v>
      </c>
      <c r="J11" s="12" t="str">
        <f t="shared" si="4"/>
        <v>🟡</v>
      </c>
      <c r="K11" s="10">
        <f t="shared" si="5"/>
        <v>44752</v>
      </c>
      <c r="L11" s="10">
        <f t="shared" si="6"/>
        <v>17932</v>
      </c>
      <c r="M11" s="10">
        <f t="shared" si="7"/>
        <v>270474</v>
      </c>
    </row>
    <row r="12" spans="1:13" ht="18" customHeight="1" x14ac:dyDescent="0.25">
      <c r="A12" s="5">
        <v>2015</v>
      </c>
      <c r="B12" s="5" t="s">
        <v>71</v>
      </c>
      <c r="C12" s="9">
        <v>786480</v>
      </c>
      <c r="D12" s="9">
        <v>527616</v>
      </c>
      <c r="E12" s="10">
        <f t="shared" si="0"/>
        <v>258864</v>
      </c>
      <c r="F12" s="11">
        <f t="shared" si="1"/>
        <v>0.3291425083918218</v>
      </c>
      <c r="G12" s="9">
        <v>786483</v>
      </c>
      <c r="H12" s="10">
        <f t="shared" si="2"/>
        <v>-3</v>
      </c>
      <c r="I12" s="11">
        <f t="shared" si="3"/>
        <v>-3.8144498991078003E-6</v>
      </c>
      <c r="J12" s="12" t="str">
        <f t="shared" si="4"/>
        <v>🟡</v>
      </c>
      <c r="K12" s="10">
        <f t="shared" si="5"/>
        <v>39324</v>
      </c>
      <c r="L12" s="10">
        <f t="shared" si="6"/>
        <v>15828</v>
      </c>
      <c r="M12" s="10">
        <f t="shared" si="7"/>
        <v>235368</v>
      </c>
    </row>
    <row r="13" spans="1:13" ht="18" customHeight="1" x14ac:dyDescent="0.25">
      <c r="A13" s="5">
        <v>2015</v>
      </c>
      <c r="B13" s="5" t="s">
        <v>72</v>
      </c>
      <c r="C13" s="9">
        <v>1728398</v>
      </c>
      <c r="D13" s="9">
        <v>1118446</v>
      </c>
      <c r="E13" s="10">
        <f t="shared" si="0"/>
        <v>609952</v>
      </c>
      <c r="F13" s="11">
        <f t="shared" si="1"/>
        <v>0.35290020006965989</v>
      </c>
      <c r="G13" s="9">
        <v>1721640</v>
      </c>
      <c r="H13" s="10">
        <f t="shared" si="2"/>
        <v>6758</v>
      </c>
      <c r="I13" s="11">
        <f t="shared" si="3"/>
        <v>3.9253270137775608E-3</v>
      </c>
      <c r="J13" s="12" t="str">
        <f t="shared" si="4"/>
        <v>🟡</v>
      </c>
      <c r="K13" s="10">
        <f t="shared" si="5"/>
        <v>86420</v>
      </c>
      <c r="L13" s="10">
        <f t="shared" si="6"/>
        <v>33553</v>
      </c>
      <c r="M13" s="10">
        <f t="shared" si="7"/>
        <v>557085</v>
      </c>
    </row>
    <row r="14" spans="1:13" ht="18" customHeight="1" x14ac:dyDescent="0.25">
      <c r="A14" s="5">
        <v>2015</v>
      </c>
      <c r="B14" s="5" t="s">
        <v>73</v>
      </c>
      <c r="C14" s="9">
        <v>2140581</v>
      </c>
      <c r="D14" s="9">
        <v>1264046</v>
      </c>
      <c r="E14" s="10">
        <f t="shared" si="0"/>
        <v>876535</v>
      </c>
      <c r="F14" s="11">
        <f t="shared" si="1"/>
        <v>0.40948462123133861</v>
      </c>
      <c r="G14" s="9">
        <v>2139961</v>
      </c>
      <c r="H14" s="10">
        <f t="shared" si="2"/>
        <v>620</v>
      </c>
      <c r="I14" s="11">
        <f t="shared" si="3"/>
        <v>2.8972490620156159E-4</v>
      </c>
      <c r="J14" s="12" t="str">
        <f t="shared" si="4"/>
        <v>🟡</v>
      </c>
      <c r="K14" s="10">
        <f t="shared" si="5"/>
        <v>107029</v>
      </c>
      <c r="L14" s="10">
        <f t="shared" si="6"/>
        <v>37921</v>
      </c>
      <c r="M14" s="10">
        <f t="shared" si="7"/>
        <v>807427</v>
      </c>
    </row>
    <row r="15" spans="1:13" ht="18" customHeight="1" x14ac:dyDescent="0.25">
      <c r="A15" s="5">
        <v>2015</v>
      </c>
      <c r="B15" s="5" t="s">
        <v>74</v>
      </c>
      <c r="C15" s="9">
        <v>2465172</v>
      </c>
      <c r="D15" s="9">
        <v>1478781</v>
      </c>
      <c r="E15" s="10">
        <f t="shared" si="0"/>
        <v>986391</v>
      </c>
      <c r="F15" s="11">
        <f t="shared" si="1"/>
        <v>0.40013070081925317</v>
      </c>
      <c r="G15" s="9">
        <v>2459901</v>
      </c>
      <c r="H15" s="10">
        <f t="shared" si="2"/>
        <v>5271</v>
      </c>
      <c r="I15" s="11">
        <f t="shared" si="3"/>
        <v>2.1427691602223017E-3</v>
      </c>
      <c r="J15" s="12" t="str">
        <f t="shared" si="4"/>
        <v>🟡</v>
      </c>
      <c r="K15" s="10">
        <f t="shared" si="5"/>
        <v>123259</v>
      </c>
      <c r="L15" s="10">
        <f t="shared" si="6"/>
        <v>44363</v>
      </c>
      <c r="M15" s="10">
        <f t="shared" si="7"/>
        <v>907495</v>
      </c>
    </row>
    <row r="16" spans="1:13" ht="18" customHeight="1" x14ac:dyDescent="0.25">
      <c r="A16" s="5">
        <v>2015</v>
      </c>
      <c r="B16" s="5" t="s">
        <v>75</v>
      </c>
      <c r="C16" s="9">
        <v>2529084</v>
      </c>
      <c r="D16" s="9">
        <v>1528465</v>
      </c>
      <c r="E16" s="10">
        <f t="shared" si="0"/>
        <v>1000619</v>
      </c>
      <c r="F16" s="11">
        <f t="shared" si="1"/>
        <v>0.39564482634819564</v>
      </c>
      <c r="G16" s="9">
        <v>2538826</v>
      </c>
      <c r="H16" s="10">
        <f t="shared" si="2"/>
        <v>-9742</v>
      </c>
      <c r="I16" s="11">
        <f t="shared" si="3"/>
        <v>-3.8372066459064148E-3</v>
      </c>
      <c r="J16" s="12" t="str">
        <f t="shared" si="4"/>
        <v>🟡</v>
      </c>
      <c r="K16" s="10">
        <f t="shared" si="5"/>
        <v>126454</v>
      </c>
      <c r="L16" s="10">
        <f t="shared" si="6"/>
        <v>45854</v>
      </c>
      <c r="M16" s="10">
        <f t="shared" si="7"/>
        <v>920019</v>
      </c>
    </row>
    <row r="17" spans="1:13" ht="18" customHeight="1" x14ac:dyDescent="0.25">
      <c r="A17" s="5">
        <v>2015</v>
      </c>
      <c r="B17" s="5" t="s">
        <v>76</v>
      </c>
      <c r="C17" s="9">
        <v>2836222</v>
      </c>
      <c r="D17" s="9">
        <v>1730335</v>
      </c>
      <c r="E17" s="10">
        <f t="shared" si="0"/>
        <v>1105887</v>
      </c>
      <c r="F17" s="11">
        <f t="shared" si="1"/>
        <v>0.38991552847414623</v>
      </c>
      <c r="G17" s="9">
        <v>2835230</v>
      </c>
      <c r="H17" s="10">
        <f t="shared" si="2"/>
        <v>992</v>
      </c>
      <c r="I17" s="11">
        <f t="shared" si="3"/>
        <v>3.4988343097385399E-4</v>
      </c>
      <c r="J17" s="12" t="str">
        <f t="shared" si="4"/>
        <v>🟡</v>
      </c>
      <c r="K17" s="10">
        <f t="shared" si="5"/>
        <v>141811</v>
      </c>
      <c r="L17" s="10">
        <f t="shared" si="6"/>
        <v>51910</v>
      </c>
      <c r="M17" s="10">
        <f t="shared" si="7"/>
        <v>1015986</v>
      </c>
    </row>
    <row r="18" spans="1:13" ht="18" customHeight="1" x14ac:dyDescent="0.25">
      <c r="A18" s="5">
        <v>2015</v>
      </c>
      <c r="B18" s="5" t="s">
        <v>3</v>
      </c>
      <c r="C18" s="9">
        <v>3848211</v>
      </c>
      <c r="D18" s="9">
        <v>2368669</v>
      </c>
      <c r="E18" s="10">
        <f t="shared" si="0"/>
        <v>1479542</v>
      </c>
      <c r="F18" s="11">
        <f t="shared" si="1"/>
        <v>0.38447527955197885</v>
      </c>
      <c r="G18" s="9">
        <v>3849604</v>
      </c>
      <c r="H18" s="10">
        <f t="shared" si="2"/>
        <v>-1393</v>
      </c>
      <c r="I18" s="11">
        <f t="shared" si="3"/>
        <v>-3.6185540123087986E-4</v>
      </c>
      <c r="J18" s="12" t="str">
        <f t="shared" si="4"/>
        <v>🟡</v>
      </c>
      <c r="K18" s="10">
        <f t="shared" si="5"/>
        <v>192411</v>
      </c>
      <c r="L18" s="10">
        <f t="shared" si="6"/>
        <v>71060</v>
      </c>
      <c r="M18" s="10">
        <f t="shared" si="7"/>
        <v>1358191</v>
      </c>
    </row>
    <row r="19" spans="1:13" ht="21.75" customHeight="1" x14ac:dyDescent="0.25">
      <c r="A19" s="42" t="s">
        <v>77</v>
      </c>
      <c r="B19" s="42"/>
      <c r="C19" s="13">
        <f>SUM(C7:C18)</f>
        <v>20023991</v>
      </c>
      <c r="D19" s="13">
        <f>SUM(D7:D18)</f>
        <v>12495428</v>
      </c>
      <c r="E19" s="13">
        <f t="shared" si="0"/>
        <v>7528563</v>
      </c>
      <c r="F19" s="14">
        <f t="shared" si="1"/>
        <v>0.37597714661377946</v>
      </c>
      <c r="G19" s="13">
        <f>SUM(G7:G18)</f>
        <v>20012324</v>
      </c>
      <c r="H19" s="13">
        <f t="shared" si="2"/>
        <v>11667</v>
      </c>
      <c r="I19" s="14">
        <f t="shared" si="3"/>
        <v>5.8299076109301449E-4</v>
      </c>
      <c r="J19" s="15" t="str">
        <f t="shared" si="4"/>
        <v>🟡</v>
      </c>
      <c r="K19" s="13">
        <f>SUM(K7:K18)</f>
        <v>1001199</v>
      </c>
      <c r="L19" s="13">
        <f>SUM(L7:L18)</f>
        <v>374861</v>
      </c>
      <c r="M19" s="13">
        <f>SUM(M7:M18)</f>
        <v>6902225</v>
      </c>
    </row>
    <row r="21" spans="1:13" ht="30" customHeight="1" x14ac:dyDescent="0.25">
      <c r="A21" s="32" t="s">
        <v>78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</row>
  </sheetData>
  <mergeCells count="5">
    <mergeCell ref="A1:M1"/>
    <mergeCell ref="A2:M2"/>
    <mergeCell ref="A4:M4"/>
    <mergeCell ref="A5:M5"/>
    <mergeCell ref="A19:B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showGridLines="0" zoomScaleNormal="100" workbookViewId="0">
      <selection activeCell="C14" sqref="C14"/>
    </sheetView>
  </sheetViews>
  <sheetFormatPr baseColWidth="10" defaultColWidth="8.7109375" defaultRowHeight="15" x14ac:dyDescent="0.25"/>
  <cols>
    <col min="1" max="1" width="16.7109375" customWidth="1"/>
    <col min="2" max="11" width="17.85546875" customWidth="1"/>
  </cols>
  <sheetData>
    <row r="1" spans="1:11" ht="16.5" customHeight="1" x14ac:dyDescent="0.25">
      <c r="A1" s="38" t="s">
        <v>79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15" customHeight="1" x14ac:dyDescent="0.25">
      <c r="A2" s="39" t="s">
        <v>80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4" spans="1:11" ht="15" customHeight="1" x14ac:dyDescent="0.25">
      <c r="A4" s="44" t="s">
        <v>81</v>
      </c>
      <c r="B4" s="44"/>
      <c r="C4" s="44"/>
      <c r="D4" s="44"/>
      <c r="E4" s="44"/>
      <c r="F4" s="44"/>
      <c r="G4" s="44"/>
      <c r="H4" s="44"/>
      <c r="I4" s="44"/>
      <c r="J4" s="44"/>
      <c r="K4" s="44"/>
    </row>
    <row r="5" spans="1:11" ht="22.5" customHeight="1" x14ac:dyDescent="0.25">
      <c r="A5" s="16" t="s">
        <v>82</v>
      </c>
      <c r="B5" s="43" t="s">
        <v>83</v>
      </c>
      <c r="C5" s="43"/>
      <c r="D5" s="16" t="s">
        <v>84</v>
      </c>
      <c r="E5" s="43" t="s">
        <v>85</v>
      </c>
      <c r="F5" s="43"/>
      <c r="G5" s="16" t="s">
        <v>86</v>
      </c>
      <c r="H5" s="43" t="s">
        <v>87</v>
      </c>
      <c r="I5" s="43"/>
    </row>
    <row r="6" spans="1:11" ht="22.5" customHeight="1" x14ac:dyDescent="0.25">
      <c r="A6" s="16" t="s">
        <v>88</v>
      </c>
      <c r="B6" s="43" t="s">
        <v>89</v>
      </c>
      <c r="C6" s="43"/>
      <c r="D6" s="16" t="s">
        <v>90</v>
      </c>
      <c r="E6" s="43" t="s">
        <v>91</v>
      </c>
      <c r="F6" s="43"/>
      <c r="G6" s="16" t="s">
        <v>92</v>
      </c>
      <c r="H6" s="43" t="s">
        <v>93</v>
      </c>
      <c r="I6" s="43"/>
    </row>
    <row r="7" spans="1:11" ht="24" customHeight="1" x14ac:dyDescent="0.25">
      <c r="A7" s="8" t="s">
        <v>5</v>
      </c>
      <c r="B7" s="8" t="s">
        <v>53</v>
      </c>
      <c r="C7" s="8" t="s">
        <v>94</v>
      </c>
      <c r="D7" s="8" t="s">
        <v>95</v>
      </c>
      <c r="E7" s="8" t="s">
        <v>96</v>
      </c>
      <c r="F7" s="8" t="s">
        <v>58</v>
      </c>
      <c r="G7" s="8" t="s">
        <v>59</v>
      </c>
      <c r="H7" s="8" t="s">
        <v>97</v>
      </c>
      <c r="I7" s="8" t="s">
        <v>98</v>
      </c>
      <c r="J7" s="8" t="s">
        <v>99</v>
      </c>
      <c r="K7" s="8" t="s">
        <v>100</v>
      </c>
    </row>
    <row r="8" spans="1:11" ht="15" customHeight="1" x14ac:dyDescent="0.25">
      <c r="A8" s="5">
        <v>1</v>
      </c>
      <c r="B8" s="5">
        <v>2011</v>
      </c>
      <c r="C8" s="9">
        <v>8964888</v>
      </c>
      <c r="D8" s="9">
        <v>6083587</v>
      </c>
      <c r="E8" s="17">
        <f t="shared" ref="E8:E14" si="0">C8-D8</f>
        <v>2881301</v>
      </c>
      <c r="F8" s="18">
        <f t="shared" ref="F8:F14" si="1">IF(C8&lt;&gt;0,E8/C8,0)</f>
        <v>0.32139843799498669</v>
      </c>
      <c r="G8" s="9">
        <v>8985125</v>
      </c>
      <c r="H8" s="17">
        <f t="shared" ref="H8:H14" si="2">C8-G8</f>
        <v>-20237</v>
      </c>
      <c r="I8" s="18">
        <f t="shared" ref="I8:I14" si="3">IF(G8&lt;&gt;0,H8/G8,0)</f>
        <v>-2.2522780707001852E-3</v>
      </c>
      <c r="J8" s="19" t="s">
        <v>101</v>
      </c>
      <c r="K8" s="19" t="s">
        <v>101</v>
      </c>
    </row>
    <row r="9" spans="1:11" ht="15" customHeight="1" x14ac:dyDescent="0.25">
      <c r="A9" s="5">
        <v>2</v>
      </c>
      <c r="B9" s="5">
        <v>2012</v>
      </c>
      <c r="C9" s="9">
        <v>9175983</v>
      </c>
      <c r="D9" s="9">
        <v>6223990</v>
      </c>
      <c r="E9" s="10">
        <f t="shared" si="0"/>
        <v>2951993</v>
      </c>
      <c r="F9" s="11">
        <f t="shared" si="1"/>
        <v>0.32170863873658007</v>
      </c>
      <c r="G9" s="9">
        <v>9184327</v>
      </c>
      <c r="H9" s="10">
        <f t="shared" si="2"/>
        <v>-8344</v>
      </c>
      <c r="I9" s="11">
        <f t="shared" si="3"/>
        <v>-9.0850423770843527E-4</v>
      </c>
      <c r="J9" s="11">
        <f>IF(C8&lt;&gt;0,(C9-C8)/C8,0)</f>
        <v>2.3546864166066547E-2</v>
      </c>
      <c r="K9" s="11">
        <f>IF(E8&lt;&gt;0,(E9-E8)/E8,0)</f>
        <v>2.4534750100735744E-2</v>
      </c>
    </row>
    <row r="10" spans="1:11" ht="15" customHeight="1" x14ac:dyDescent="0.25">
      <c r="A10" s="5">
        <v>3</v>
      </c>
      <c r="B10" s="5">
        <v>2013</v>
      </c>
      <c r="C10" s="9">
        <v>15240037</v>
      </c>
      <c r="D10" s="9">
        <v>9280829</v>
      </c>
      <c r="E10" s="17">
        <f t="shared" si="0"/>
        <v>5959208</v>
      </c>
      <c r="F10" s="18">
        <f t="shared" si="1"/>
        <v>0.39102319764709231</v>
      </c>
      <c r="G10" s="9">
        <v>15249299</v>
      </c>
      <c r="H10" s="17">
        <f t="shared" si="2"/>
        <v>-9262</v>
      </c>
      <c r="I10" s="18">
        <f t="shared" si="3"/>
        <v>-6.0737218150158905E-4</v>
      </c>
      <c r="J10" s="18">
        <f>IF(C9&lt;&gt;0,(C10-C9)/C9,0)</f>
        <v>0.66086151205816313</v>
      </c>
      <c r="K10" s="18">
        <f>IF(E9&lt;&gt;0,(E10-E9)/E9,0)</f>
        <v>1.0187066839250636</v>
      </c>
    </row>
    <row r="11" spans="1:11" ht="15" customHeight="1" x14ac:dyDescent="0.25">
      <c r="A11" s="5">
        <v>4</v>
      </c>
      <c r="B11" s="5">
        <v>2014</v>
      </c>
      <c r="C11" s="9">
        <v>14152724</v>
      </c>
      <c r="D11" s="9">
        <v>8288637</v>
      </c>
      <c r="E11" s="10">
        <f t="shared" si="0"/>
        <v>5864087</v>
      </c>
      <c r="F11" s="11">
        <f t="shared" si="1"/>
        <v>0.41434334478648777</v>
      </c>
      <c r="G11" s="9">
        <v>14160768</v>
      </c>
      <c r="H11" s="10">
        <f t="shared" si="2"/>
        <v>-8044</v>
      </c>
      <c r="I11" s="11">
        <f t="shared" si="3"/>
        <v>-5.6804828664659994E-4</v>
      </c>
      <c r="J11" s="11">
        <f>IF(C10&lt;&gt;0,(C11-C10)/C10,0)</f>
        <v>-7.1345824160400667E-2</v>
      </c>
      <c r="K11" s="11">
        <f>IF(E10&lt;&gt;0,(E11-E10)/E10,0)</f>
        <v>-1.5962020456409643E-2</v>
      </c>
    </row>
    <row r="12" spans="1:11" ht="15" customHeight="1" x14ac:dyDescent="0.25">
      <c r="A12" s="5">
        <v>5</v>
      </c>
      <c r="B12" s="5">
        <v>2015</v>
      </c>
      <c r="C12" s="9">
        <v>20023991</v>
      </c>
      <c r="D12" s="9">
        <v>12495428</v>
      </c>
      <c r="E12" s="17">
        <f t="shared" si="0"/>
        <v>7528563</v>
      </c>
      <c r="F12" s="18">
        <f t="shared" si="1"/>
        <v>0.37597714661377946</v>
      </c>
      <c r="G12" s="9">
        <v>20012324</v>
      </c>
      <c r="H12" s="17">
        <f t="shared" si="2"/>
        <v>11667</v>
      </c>
      <c r="I12" s="18">
        <f t="shared" si="3"/>
        <v>5.8299076109301449E-4</v>
      </c>
      <c r="J12" s="18">
        <f>IF(C11&lt;&gt;0,(C12-C11)/C11,0)</f>
        <v>0.41485066761706085</v>
      </c>
      <c r="K12" s="18">
        <f>IF(E11&lt;&gt;0,(E12-E11)/E11,0)</f>
        <v>0.28384230997937104</v>
      </c>
    </row>
    <row r="13" spans="1:11" ht="15" customHeight="1" x14ac:dyDescent="0.25">
      <c r="A13" s="5">
        <v>6</v>
      </c>
      <c r="B13" s="5">
        <v>2016</v>
      </c>
      <c r="C13" s="9">
        <v>17713385</v>
      </c>
      <c r="D13" s="9">
        <v>10677437</v>
      </c>
      <c r="E13" s="10">
        <f t="shared" si="0"/>
        <v>7035948</v>
      </c>
      <c r="F13" s="11">
        <f t="shared" si="1"/>
        <v>0.39721080979157852</v>
      </c>
      <c r="G13" s="9">
        <v>17724314</v>
      </c>
      <c r="H13" s="10">
        <f t="shared" si="2"/>
        <v>-10929</v>
      </c>
      <c r="I13" s="11">
        <f t="shared" si="3"/>
        <v>-6.166106061989197E-4</v>
      </c>
      <c r="J13" s="11">
        <f>IF(C12&lt;&gt;0,(C13-C12)/C12,0)</f>
        <v>-0.11539188166834474</v>
      </c>
      <c r="K13" s="11">
        <f>IF(E12&lt;&gt;0,(E13-E12)/E12,0)</f>
        <v>-6.5432805702761609E-2</v>
      </c>
    </row>
    <row r="14" spans="1:11" ht="15" customHeight="1" x14ac:dyDescent="0.25">
      <c r="A14" s="53"/>
      <c r="B14" s="53" t="s">
        <v>102</v>
      </c>
      <c r="C14" s="53">
        <f>SUM(C8:C13)</f>
        <v>85271008</v>
      </c>
      <c r="D14" s="53">
        <f>SUM(D8:D13)</f>
        <v>53049908</v>
      </c>
      <c r="E14" s="53">
        <f t="shared" si="0"/>
        <v>32221100</v>
      </c>
      <c r="F14" s="53">
        <f t="shared" si="1"/>
        <v>0.37786700023529685</v>
      </c>
      <c r="G14" s="53">
        <f>SUM(G8:G13)</f>
        <v>85316157</v>
      </c>
      <c r="H14" s="53">
        <f t="shared" si="2"/>
        <v>-45149</v>
      </c>
      <c r="I14" s="53">
        <f t="shared" si="3"/>
        <v>-5.2919636312263808E-4</v>
      </c>
      <c r="J14" s="53" t="s">
        <v>103</v>
      </c>
      <c r="K14" s="53" t="s">
        <v>103</v>
      </c>
    </row>
  </sheetData>
  <mergeCells count="9">
    <mergeCell ref="B6:C6"/>
    <mergeCell ref="E6:F6"/>
    <mergeCell ref="H6:I6"/>
    <mergeCell ref="A1:K1"/>
    <mergeCell ref="A2:K2"/>
    <mergeCell ref="A4:K4"/>
    <mergeCell ref="B5:C5"/>
    <mergeCell ref="E5:F5"/>
    <mergeCell ref="H5:I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showGridLines="0" topLeftCell="A16" zoomScaleNormal="100" workbookViewId="0">
      <selection activeCell="G9" sqref="G9"/>
    </sheetView>
  </sheetViews>
  <sheetFormatPr baseColWidth="10" defaultColWidth="8.7109375" defaultRowHeight="15" x14ac:dyDescent="0.25"/>
  <cols>
    <col min="1" max="1" width="16.7109375" customWidth="1"/>
    <col min="2" max="2" width="16.7109375" style="179" customWidth="1"/>
    <col min="3" max="3" width="15.28515625" style="179" customWidth="1"/>
    <col min="4" max="4" width="14.5703125" style="179" customWidth="1"/>
    <col min="5" max="5" width="13.85546875" style="179" customWidth="1"/>
    <col min="6" max="6" width="18.85546875" style="179" customWidth="1"/>
    <col min="7" max="7" width="14.7109375" style="179" customWidth="1"/>
    <col min="8" max="8" width="16.28515625" style="179" customWidth="1"/>
    <col min="9" max="9" width="36.7109375" customWidth="1"/>
    <col min="10" max="10" width="45.140625" customWidth="1"/>
  </cols>
  <sheetData>
    <row r="1" spans="1:10" ht="16.5" customHeight="1" x14ac:dyDescent="0.25">
      <c r="A1" s="57" t="s">
        <v>104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x14ac:dyDescent="0.25">
      <c r="A2" s="58"/>
      <c r="B2" s="178"/>
      <c r="C2" s="178"/>
      <c r="D2" s="178"/>
      <c r="E2" s="178"/>
      <c r="F2" s="178"/>
      <c r="G2" s="178"/>
      <c r="H2" s="178"/>
      <c r="I2" s="58"/>
      <c r="J2" s="58"/>
    </row>
    <row r="3" spans="1:10" ht="15" customHeight="1" x14ac:dyDescent="0.25">
      <c r="A3" s="59" t="s">
        <v>105</v>
      </c>
      <c r="B3" s="59"/>
      <c r="C3" s="59"/>
      <c r="D3" s="59"/>
      <c r="E3" s="59"/>
      <c r="F3" s="59"/>
      <c r="G3" s="59"/>
      <c r="H3" s="59"/>
      <c r="I3" s="59"/>
      <c r="J3" s="59"/>
    </row>
    <row r="4" spans="1:10" ht="15" customHeight="1" x14ac:dyDescent="0.25">
      <c r="A4" s="60" t="s">
        <v>106</v>
      </c>
      <c r="B4" s="60"/>
      <c r="C4" s="60"/>
      <c r="D4" s="60"/>
      <c r="E4" s="60"/>
      <c r="F4" s="60"/>
      <c r="G4" s="60"/>
      <c r="H4" s="60"/>
      <c r="I4" s="60"/>
      <c r="J4" s="60"/>
    </row>
    <row r="5" spans="1:10" ht="15" customHeight="1" x14ac:dyDescent="0.25">
      <c r="A5" s="61" t="s">
        <v>107</v>
      </c>
      <c r="B5" s="61"/>
      <c r="C5" s="61"/>
      <c r="D5" s="61"/>
      <c r="E5" s="61"/>
      <c r="F5" s="61"/>
      <c r="G5" s="61"/>
      <c r="H5" s="61"/>
      <c r="I5" s="61"/>
      <c r="J5" s="61"/>
    </row>
    <row r="6" spans="1:10" ht="15" customHeight="1" x14ac:dyDescent="0.25">
      <c r="A6" s="62" t="s">
        <v>108</v>
      </c>
      <c r="B6" s="62"/>
      <c r="C6" s="62"/>
      <c r="D6" s="62"/>
      <c r="E6" s="62"/>
      <c r="F6" s="62"/>
      <c r="G6" s="62"/>
      <c r="H6" s="62"/>
      <c r="I6" s="62"/>
      <c r="J6" s="62"/>
    </row>
    <row r="7" spans="1:10" ht="35.25" customHeight="1" x14ac:dyDescent="0.25">
      <c r="A7" s="63" t="s">
        <v>109</v>
      </c>
      <c r="B7" s="173">
        <v>0.05</v>
      </c>
      <c r="C7" s="64" t="s">
        <v>110</v>
      </c>
      <c r="D7" s="64"/>
      <c r="E7" s="64"/>
      <c r="F7" s="168" t="s">
        <v>111</v>
      </c>
      <c r="G7" s="173">
        <v>0.03</v>
      </c>
      <c r="H7" s="64" t="s">
        <v>112</v>
      </c>
      <c r="I7" s="64"/>
      <c r="J7" s="64"/>
    </row>
    <row r="8" spans="1:10" ht="24" customHeight="1" x14ac:dyDescent="0.25">
      <c r="A8" s="65" t="s">
        <v>5</v>
      </c>
      <c r="B8" s="169" t="s">
        <v>113</v>
      </c>
      <c r="C8" s="169" t="s">
        <v>55</v>
      </c>
      <c r="D8" s="169" t="s">
        <v>56</v>
      </c>
      <c r="E8" s="169" t="s">
        <v>114</v>
      </c>
      <c r="F8" s="169" t="s">
        <v>115</v>
      </c>
      <c r="G8" s="169" t="s">
        <v>116</v>
      </c>
      <c r="H8" s="169" t="s">
        <v>117</v>
      </c>
      <c r="I8" s="65" t="s">
        <v>118</v>
      </c>
      <c r="J8" s="65" t="s">
        <v>119</v>
      </c>
    </row>
    <row r="9" spans="1:10" ht="45" customHeight="1" x14ac:dyDescent="0.25">
      <c r="A9" s="54">
        <v>1</v>
      </c>
      <c r="B9" s="174" t="s">
        <v>66</v>
      </c>
      <c r="C9" s="175">
        <v>666938</v>
      </c>
      <c r="D9" s="175">
        <v>447744</v>
      </c>
      <c r="E9" s="170">
        <f t="shared" ref="E9:E21" si="0">C9-D9</f>
        <v>219194</v>
      </c>
      <c r="F9" s="170">
        <f t="shared" ref="F9:F20" si="1">ROUND(C9*$B$7,0)</f>
        <v>33347</v>
      </c>
      <c r="G9" s="170">
        <f t="shared" ref="G9:G20" si="2">ROUND(D9*$G$7,0)</f>
        <v>13432</v>
      </c>
      <c r="H9" s="170">
        <f t="shared" ref="H9:H20" si="3">E9-F9+G9</f>
        <v>199279</v>
      </c>
      <c r="I9" s="55" t="s">
        <v>120</v>
      </c>
      <c r="J9" s="55" t="s">
        <v>121</v>
      </c>
    </row>
    <row r="10" spans="1:10" ht="45" customHeight="1" x14ac:dyDescent="0.25">
      <c r="A10" s="54">
        <v>2</v>
      </c>
      <c r="B10" s="174" t="s">
        <v>67</v>
      </c>
      <c r="C10" s="175">
        <v>679246</v>
      </c>
      <c r="D10" s="175">
        <v>458635</v>
      </c>
      <c r="E10" s="171">
        <f t="shared" si="0"/>
        <v>220611</v>
      </c>
      <c r="F10" s="171">
        <f t="shared" si="1"/>
        <v>33962</v>
      </c>
      <c r="G10" s="171">
        <f t="shared" si="2"/>
        <v>13759</v>
      </c>
      <c r="H10" s="171">
        <f t="shared" si="3"/>
        <v>200408</v>
      </c>
      <c r="I10" s="56" t="s">
        <v>122</v>
      </c>
      <c r="J10" s="56" t="s">
        <v>123</v>
      </c>
    </row>
    <row r="11" spans="1:10" ht="45" customHeight="1" x14ac:dyDescent="0.25">
      <c r="A11" s="54">
        <v>3</v>
      </c>
      <c r="B11" s="174" t="s">
        <v>68</v>
      </c>
      <c r="C11" s="175">
        <v>714008</v>
      </c>
      <c r="D11" s="175">
        <v>477922</v>
      </c>
      <c r="E11" s="170">
        <f t="shared" si="0"/>
        <v>236086</v>
      </c>
      <c r="F11" s="170">
        <f t="shared" si="1"/>
        <v>35700</v>
      </c>
      <c r="G11" s="170">
        <f t="shared" si="2"/>
        <v>14338</v>
      </c>
      <c r="H11" s="170">
        <f t="shared" si="3"/>
        <v>214724</v>
      </c>
      <c r="I11" s="55" t="s">
        <v>124</v>
      </c>
      <c r="J11" s="55" t="s">
        <v>125</v>
      </c>
    </row>
    <row r="12" spans="1:10" ht="45" customHeight="1" x14ac:dyDescent="0.25">
      <c r="A12" s="54">
        <v>4</v>
      </c>
      <c r="B12" s="174" t="s">
        <v>69</v>
      </c>
      <c r="C12" s="175">
        <v>734608</v>
      </c>
      <c r="D12" s="175">
        <v>497020</v>
      </c>
      <c r="E12" s="171">
        <f t="shared" si="0"/>
        <v>237588</v>
      </c>
      <c r="F12" s="171">
        <f t="shared" si="1"/>
        <v>36730</v>
      </c>
      <c r="G12" s="171">
        <f t="shared" si="2"/>
        <v>14911</v>
      </c>
      <c r="H12" s="171">
        <f t="shared" si="3"/>
        <v>215769</v>
      </c>
      <c r="I12" s="56" t="s">
        <v>126</v>
      </c>
      <c r="J12" s="56" t="s">
        <v>127</v>
      </c>
    </row>
    <row r="13" spans="1:10" ht="45" customHeight="1" x14ac:dyDescent="0.25">
      <c r="A13" s="54">
        <v>5</v>
      </c>
      <c r="B13" s="174" t="s">
        <v>70</v>
      </c>
      <c r="C13" s="175">
        <v>895043</v>
      </c>
      <c r="D13" s="175">
        <v>597749</v>
      </c>
      <c r="E13" s="170">
        <f t="shared" si="0"/>
        <v>297294</v>
      </c>
      <c r="F13" s="170">
        <f t="shared" si="1"/>
        <v>44752</v>
      </c>
      <c r="G13" s="170">
        <f t="shared" si="2"/>
        <v>17932</v>
      </c>
      <c r="H13" s="170">
        <f t="shared" si="3"/>
        <v>270474</v>
      </c>
      <c r="I13" s="55" t="s">
        <v>128</v>
      </c>
      <c r="J13" s="55" t="s">
        <v>129</v>
      </c>
    </row>
    <row r="14" spans="1:10" ht="45" customHeight="1" x14ac:dyDescent="0.25">
      <c r="A14" s="54">
        <v>6</v>
      </c>
      <c r="B14" s="174" t="s">
        <v>71</v>
      </c>
      <c r="C14" s="175">
        <v>786480</v>
      </c>
      <c r="D14" s="175">
        <v>527616</v>
      </c>
      <c r="E14" s="171">
        <f t="shared" si="0"/>
        <v>258864</v>
      </c>
      <c r="F14" s="171">
        <f t="shared" si="1"/>
        <v>39324</v>
      </c>
      <c r="G14" s="171">
        <f t="shared" si="2"/>
        <v>15828</v>
      </c>
      <c r="H14" s="171">
        <f t="shared" si="3"/>
        <v>235368</v>
      </c>
      <c r="I14" s="56" t="s">
        <v>130</v>
      </c>
      <c r="J14" s="56" t="s">
        <v>131</v>
      </c>
    </row>
    <row r="15" spans="1:10" ht="56.25" customHeight="1" x14ac:dyDescent="0.25">
      <c r="A15" s="54">
        <v>7</v>
      </c>
      <c r="B15" s="174" t="s">
        <v>72</v>
      </c>
      <c r="C15" s="175">
        <v>1728398</v>
      </c>
      <c r="D15" s="175">
        <v>1118446</v>
      </c>
      <c r="E15" s="170">
        <f t="shared" si="0"/>
        <v>609952</v>
      </c>
      <c r="F15" s="170">
        <f t="shared" si="1"/>
        <v>86420</v>
      </c>
      <c r="G15" s="170">
        <f t="shared" si="2"/>
        <v>33553</v>
      </c>
      <c r="H15" s="170">
        <f t="shared" si="3"/>
        <v>557085</v>
      </c>
      <c r="I15" s="55" t="s">
        <v>132</v>
      </c>
      <c r="J15" s="55" t="s">
        <v>133</v>
      </c>
    </row>
    <row r="16" spans="1:10" ht="56.25" customHeight="1" x14ac:dyDescent="0.25">
      <c r="A16" s="54">
        <v>8</v>
      </c>
      <c r="B16" s="174" t="s">
        <v>73</v>
      </c>
      <c r="C16" s="175">
        <v>2140581</v>
      </c>
      <c r="D16" s="175">
        <v>1264046</v>
      </c>
      <c r="E16" s="171">
        <f t="shared" si="0"/>
        <v>876535</v>
      </c>
      <c r="F16" s="171">
        <f t="shared" si="1"/>
        <v>107029</v>
      </c>
      <c r="G16" s="171">
        <f t="shared" si="2"/>
        <v>37921</v>
      </c>
      <c r="H16" s="171">
        <f t="shared" si="3"/>
        <v>807427</v>
      </c>
      <c r="I16" s="56" t="s">
        <v>134</v>
      </c>
      <c r="J16" s="56" t="s">
        <v>135</v>
      </c>
    </row>
    <row r="17" spans="1:10" ht="56.25" customHeight="1" x14ac:dyDescent="0.25">
      <c r="A17" s="54">
        <v>9</v>
      </c>
      <c r="B17" s="174" t="s">
        <v>74</v>
      </c>
      <c r="C17" s="175">
        <v>2465172</v>
      </c>
      <c r="D17" s="175">
        <v>1478781</v>
      </c>
      <c r="E17" s="170">
        <f t="shared" si="0"/>
        <v>986391</v>
      </c>
      <c r="F17" s="170">
        <f t="shared" si="1"/>
        <v>123259</v>
      </c>
      <c r="G17" s="170">
        <f t="shared" si="2"/>
        <v>44363</v>
      </c>
      <c r="H17" s="170">
        <f t="shared" si="3"/>
        <v>907495</v>
      </c>
      <c r="I17" s="55" t="s">
        <v>136</v>
      </c>
      <c r="J17" s="55" t="s">
        <v>137</v>
      </c>
    </row>
    <row r="18" spans="1:10" ht="56.25" customHeight="1" x14ac:dyDescent="0.25">
      <c r="A18" s="54">
        <v>10</v>
      </c>
      <c r="B18" s="174" t="s">
        <v>75</v>
      </c>
      <c r="C18" s="175">
        <v>2529084</v>
      </c>
      <c r="D18" s="175">
        <v>1528465</v>
      </c>
      <c r="E18" s="171">
        <f t="shared" si="0"/>
        <v>1000619</v>
      </c>
      <c r="F18" s="171">
        <f t="shared" si="1"/>
        <v>126454</v>
      </c>
      <c r="G18" s="171">
        <f t="shared" si="2"/>
        <v>45854</v>
      </c>
      <c r="H18" s="171">
        <f t="shared" si="3"/>
        <v>920019</v>
      </c>
      <c r="I18" s="56" t="s">
        <v>138</v>
      </c>
      <c r="J18" s="56" t="s">
        <v>139</v>
      </c>
    </row>
    <row r="19" spans="1:10" ht="56.25" customHeight="1" x14ac:dyDescent="0.25">
      <c r="A19" s="54">
        <v>11</v>
      </c>
      <c r="B19" s="174" t="s">
        <v>76</v>
      </c>
      <c r="C19" s="175">
        <v>2836222</v>
      </c>
      <c r="D19" s="175">
        <v>1730335</v>
      </c>
      <c r="E19" s="170">
        <f t="shared" si="0"/>
        <v>1105887</v>
      </c>
      <c r="F19" s="170">
        <f t="shared" si="1"/>
        <v>141811</v>
      </c>
      <c r="G19" s="170">
        <f t="shared" si="2"/>
        <v>51910</v>
      </c>
      <c r="H19" s="170">
        <f t="shared" si="3"/>
        <v>1015986</v>
      </c>
      <c r="I19" s="55" t="s">
        <v>140</v>
      </c>
      <c r="J19" s="55" t="s">
        <v>141</v>
      </c>
    </row>
    <row r="20" spans="1:10" ht="56.25" customHeight="1" x14ac:dyDescent="0.25">
      <c r="A20" s="54">
        <v>12</v>
      </c>
      <c r="B20" s="174" t="s">
        <v>3</v>
      </c>
      <c r="C20" s="175">
        <v>3848211</v>
      </c>
      <c r="D20" s="175">
        <v>2368669</v>
      </c>
      <c r="E20" s="171">
        <f t="shared" si="0"/>
        <v>1479542</v>
      </c>
      <c r="F20" s="171">
        <f t="shared" si="1"/>
        <v>192411</v>
      </c>
      <c r="G20" s="171">
        <f t="shared" si="2"/>
        <v>71060</v>
      </c>
      <c r="H20" s="171">
        <f t="shared" si="3"/>
        <v>1358191</v>
      </c>
      <c r="I20" s="56" t="s">
        <v>142</v>
      </c>
      <c r="J20" s="56" t="s">
        <v>143</v>
      </c>
    </row>
    <row r="21" spans="1:10" ht="15" customHeight="1" x14ac:dyDescent="0.25">
      <c r="A21" s="66" t="s">
        <v>144</v>
      </c>
      <c r="B21" s="66"/>
      <c r="C21" s="172">
        <f>SUM(C9:C20)</f>
        <v>20023991</v>
      </c>
      <c r="D21" s="172">
        <f>SUM(D9:D20)</f>
        <v>12495428</v>
      </c>
      <c r="E21" s="172">
        <f t="shared" si="0"/>
        <v>7528563</v>
      </c>
      <c r="F21" s="172">
        <f>SUM(F9:F20)</f>
        <v>1001199</v>
      </c>
      <c r="G21" s="172">
        <f>SUM(G9:G20)</f>
        <v>374861</v>
      </c>
      <c r="H21" s="172">
        <f>SUM(H9:H20)</f>
        <v>6902225</v>
      </c>
      <c r="I21" s="67"/>
      <c r="J21" s="67"/>
    </row>
    <row r="22" spans="1:10" x14ac:dyDescent="0.25">
      <c r="A22" s="58"/>
      <c r="B22" s="178"/>
      <c r="C22" s="178"/>
      <c r="D22" s="178"/>
      <c r="E22" s="178"/>
      <c r="F22" s="178"/>
      <c r="G22" s="178"/>
      <c r="H22" s="178"/>
      <c r="I22" s="58"/>
      <c r="J22" s="58"/>
    </row>
    <row r="23" spans="1:10" ht="15" customHeight="1" x14ac:dyDescent="0.25">
      <c r="A23" s="68" t="s">
        <v>145</v>
      </c>
      <c r="B23" s="68"/>
      <c r="C23" s="68"/>
      <c r="D23" s="68"/>
      <c r="E23" s="68"/>
      <c r="F23" s="68"/>
      <c r="G23" s="68"/>
      <c r="H23" s="68"/>
      <c r="I23" s="68"/>
      <c r="J23" s="68"/>
    </row>
    <row r="24" spans="1:10" ht="48" customHeight="1" x14ac:dyDescent="0.25">
      <c r="A24" s="69" t="s">
        <v>146</v>
      </c>
      <c r="B24" s="74" t="s">
        <v>147</v>
      </c>
      <c r="C24" s="176" t="s">
        <v>148</v>
      </c>
      <c r="D24" s="74" t="s">
        <v>149</v>
      </c>
      <c r="E24" s="176" t="s">
        <v>150</v>
      </c>
      <c r="F24" s="70" t="s">
        <v>151</v>
      </c>
      <c r="G24" s="70"/>
      <c r="H24" s="70"/>
      <c r="I24" s="70"/>
      <c r="J24" s="70"/>
    </row>
    <row r="25" spans="1:10" ht="48" customHeight="1" x14ac:dyDescent="0.25">
      <c r="A25" s="71" t="s">
        <v>152</v>
      </c>
      <c r="B25" s="76" t="s">
        <v>147</v>
      </c>
      <c r="C25" s="177" t="s">
        <v>153</v>
      </c>
      <c r="D25" s="76" t="s">
        <v>149</v>
      </c>
      <c r="E25" s="177" t="s">
        <v>154</v>
      </c>
      <c r="F25" s="72" t="s">
        <v>155</v>
      </c>
      <c r="G25" s="72"/>
      <c r="H25" s="72"/>
      <c r="I25" s="72"/>
      <c r="J25" s="72"/>
    </row>
  </sheetData>
  <mergeCells count="11">
    <mergeCell ref="F25:J25"/>
    <mergeCell ref="C7:E7"/>
    <mergeCell ref="H7:J7"/>
    <mergeCell ref="A21:B21"/>
    <mergeCell ref="A23:J23"/>
    <mergeCell ref="F24:J24"/>
    <mergeCell ref="A1:J1"/>
    <mergeCell ref="A3:J3"/>
    <mergeCell ref="A4:J4"/>
    <mergeCell ref="A5:J5"/>
    <mergeCell ref="A6:J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5"/>
  <sheetViews>
    <sheetView showGridLines="0" zoomScaleNormal="100" workbookViewId="0">
      <selection activeCell="E10" sqref="E10"/>
    </sheetView>
  </sheetViews>
  <sheetFormatPr baseColWidth="10" defaultColWidth="8.7109375" defaultRowHeight="15" x14ac:dyDescent="0.25"/>
  <cols>
    <col min="1" max="1" width="28" customWidth="1"/>
    <col min="2" max="2" width="55" customWidth="1"/>
    <col min="3" max="3" width="40" customWidth="1"/>
  </cols>
  <sheetData>
    <row r="1" spans="1:3" ht="27.75" customHeight="1" x14ac:dyDescent="0.25">
      <c r="A1" s="57" t="s">
        <v>156</v>
      </c>
      <c r="B1" s="57"/>
      <c r="C1" s="57"/>
    </row>
    <row r="2" spans="1:3" x14ac:dyDescent="0.25">
      <c r="A2" s="58"/>
      <c r="B2" s="58"/>
      <c r="C2" s="58"/>
    </row>
    <row r="3" spans="1:3" ht="21.75" customHeight="1" x14ac:dyDescent="0.25">
      <c r="A3" s="73" t="s">
        <v>157</v>
      </c>
      <c r="B3" s="73"/>
      <c r="C3" s="73"/>
    </row>
    <row r="4" spans="1:3" ht="19.5" customHeight="1" x14ac:dyDescent="0.25">
      <c r="A4" s="74" t="s">
        <v>158</v>
      </c>
      <c r="B4" s="75" t="s">
        <v>159</v>
      </c>
      <c r="C4" s="75"/>
    </row>
    <row r="5" spans="1:3" ht="19.5" customHeight="1" x14ac:dyDescent="0.25">
      <c r="A5" s="76" t="s">
        <v>160</v>
      </c>
      <c r="B5" s="77" t="s">
        <v>161</v>
      </c>
      <c r="C5" s="77"/>
    </row>
    <row r="6" spans="1:3" ht="19.5" customHeight="1" x14ac:dyDescent="0.25">
      <c r="A6" s="74" t="s">
        <v>162</v>
      </c>
      <c r="B6" s="75" t="s">
        <v>163</v>
      </c>
      <c r="C6" s="75"/>
    </row>
    <row r="7" spans="1:3" ht="19.5" customHeight="1" x14ac:dyDescent="0.25">
      <c r="A7" s="76" t="s">
        <v>164</v>
      </c>
      <c r="B7" s="77" t="s">
        <v>165</v>
      </c>
      <c r="C7" s="77"/>
    </row>
    <row r="8" spans="1:3" ht="19.5" customHeight="1" x14ac:dyDescent="0.25">
      <c r="A8" s="74" t="s">
        <v>166</v>
      </c>
      <c r="B8" s="75" t="s">
        <v>167</v>
      </c>
      <c r="C8" s="75"/>
    </row>
    <row r="9" spans="1:3" ht="19.5" customHeight="1" x14ac:dyDescent="0.25">
      <c r="A9" s="76" t="s">
        <v>168</v>
      </c>
      <c r="B9" s="77" t="s">
        <v>169</v>
      </c>
      <c r="C9" s="77"/>
    </row>
    <row r="10" spans="1:3" ht="19.5" customHeight="1" x14ac:dyDescent="0.25">
      <c r="A10" s="74" t="s">
        <v>170</v>
      </c>
      <c r="B10" s="75" t="s">
        <v>171</v>
      </c>
      <c r="C10" s="75"/>
    </row>
    <row r="11" spans="1:3" x14ac:dyDescent="0.25">
      <c r="A11" s="58"/>
      <c r="B11" s="58"/>
      <c r="C11" s="58"/>
    </row>
    <row r="12" spans="1:3" ht="21.75" customHeight="1" x14ac:dyDescent="0.25">
      <c r="A12" s="73" t="s">
        <v>172</v>
      </c>
      <c r="B12" s="73"/>
      <c r="C12" s="73"/>
    </row>
    <row r="13" spans="1:3" ht="19.5" customHeight="1" x14ac:dyDescent="0.25">
      <c r="A13" s="74" t="s">
        <v>173</v>
      </c>
      <c r="B13" s="75" t="s">
        <v>174</v>
      </c>
      <c r="C13" s="75"/>
    </row>
    <row r="14" spans="1:3" ht="19.5" customHeight="1" x14ac:dyDescent="0.25">
      <c r="A14" s="76" t="s">
        <v>175</v>
      </c>
      <c r="B14" s="77" t="s">
        <v>176</v>
      </c>
      <c r="C14" s="77"/>
    </row>
    <row r="15" spans="1:3" ht="19.5" customHeight="1" x14ac:dyDescent="0.25">
      <c r="A15" s="74" t="s">
        <v>177</v>
      </c>
      <c r="B15" s="75" t="s">
        <v>178</v>
      </c>
      <c r="C15" s="75"/>
    </row>
    <row r="16" spans="1:3" ht="19.5" customHeight="1" x14ac:dyDescent="0.25">
      <c r="A16" s="76" t="s">
        <v>179</v>
      </c>
      <c r="B16" s="77" t="s">
        <v>180</v>
      </c>
      <c r="C16" s="77"/>
    </row>
    <row r="17" spans="1:3" ht="19.5" customHeight="1" x14ac:dyDescent="0.25">
      <c r="A17" s="74" t="s">
        <v>181</v>
      </c>
      <c r="B17" s="75" t="s">
        <v>182</v>
      </c>
      <c r="C17" s="75"/>
    </row>
    <row r="18" spans="1:3" ht="19.5" customHeight="1" x14ac:dyDescent="0.25">
      <c r="A18" s="76" t="s">
        <v>183</v>
      </c>
      <c r="B18" s="77" t="s">
        <v>184</v>
      </c>
      <c r="C18" s="77"/>
    </row>
    <row r="19" spans="1:3" ht="19.5" customHeight="1" x14ac:dyDescent="0.25">
      <c r="A19" s="74" t="s">
        <v>185</v>
      </c>
      <c r="B19" s="75" t="s">
        <v>186</v>
      </c>
      <c r="C19" s="75"/>
    </row>
    <row r="20" spans="1:3" ht="19.5" customHeight="1" x14ac:dyDescent="0.25">
      <c r="A20" s="76" t="s">
        <v>62</v>
      </c>
      <c r="B20" s="77" t="s">
        <v>187</v>
      </c>
      <c r="C20" s="77"/>
    </row>
    <row r="21" spans="1:3" ht="19.5" customHeight="1" x14ac:dyDescent="0.25">
      <c r="A21" s="74" t="s">
        <v>188</v>
      </c>
      <c r="B21" s="75" t="s">
        <v>189</v>
      </c>
      <c r="C21" s="75"/>
    </row>
    <row r="22" spans="1:3" ht="19.5" customHeight="1" x14ac:dyDescent="0.25">
      <c r="A22" s="76" t="s">
        <v>190</v>
      </c>
      <c r="B22" s="77" t="s">
        <v>191</v>
      </c>
      <c r="C22" s="77"/>
    </row>
    <row r="23" spans="1:3" ht="19.5" customHeight="1" x14ac:dyDescent="0.25">
      <c r="A23" s="74" t="s">
        <v>192</v>
      </c>
      <c r="B23" s="75" t="s">
        <v>193</v>
      </c>
      <c r="C23" s="75"/>
    </row>
    <row r="24" spans="1:3" x14ac:dyDescent="0.25">
      <c r="A24" s="58"/>
      <c r="B24" s="58"/>
      <c r="C24" s="58"/>
    </row>
    <row r="25" spans="1:3" ht="21.75" customHeight="1" x14ac:dyDescent="0.25">
      <c r="A25" s="73" t="s">
        <v>194</v>
      </c>
      <c r="B25" s="73"/>
      <c r="C25" s="73"/>
    </row>
    <row r="26" spans="1:3" ht="19.5" customHeight="1" x14ac:dyDescent="0.25">
      <c r="A26" s="74" t="s">
        <v>195</v>
      </c>
      <c r="B26" s="75" t="s">
        <v>196</v>
      </c>
      <c r="C26" s="75"/>
    </row>
    <row r="27" spans="1:3" ht="19.5" customHeight="1" x14ac:dyDescent="0.25">
      <c r="A27" s="76" t="s">
        <v>197</v>
      </c>
      <c r="B27" s="77" t="s">
        <v>198</v>
      </c>
      <c r="C27" s="77"/>
    </row>
    <row r="28" spans="1:3" ht="19.5" customHeight="1" x14ac:dyDescent="0.25">
      <c r="A28" s="74" t="s">
        <v>199</v>
      </c>
      <c r="B28" s="75" t="s">
        <v>200</v>
      </c>
      <c r="C28" s="75"/>
    </row>
    <row r="29" spans="1:3" ht="19.5" customHeight="1" x14ac:dyDescent="0.25">
      <c r="A29" s="76" t="s">
        <v>201</v>
      </c>
      <c r="B29" s="77" t="s">
        <v>202</v>
      </c>
      <c r="C29" s="77"/>
    </row>
    <row r="30" spans="1:3" ht="19.5" customHeight="1" x14ac:dyDescent="0.25">
      <c r="A30" s="74" t="s">
        <v>181</v>
      </c>
      <c r="B30" s="75" t="s">
        <v>203</v>
      </c>
      <c r="C30" s="75"/>
    </row>
    <row r="31" spans="1:3" ht="19.5" customHeight="1" x14ac:dyDescent="0.25">
      <c r="A31" s="76" t="s">
        <v>183</v>
      </c>
      <c r="B31" s="77" t="s">
        <v>204</v>
      </c>
      <c r="C31" s="77"/>
    </row>
    <row r="32" spans="1:3" ht="19.5" customHeight="1" x14ac:dyDescent="0.25">
      <c r="A32" s="74" t="s">
        <v>205</v>
      </c>
      <c r="B32" s="75" t="s">
        <v>206</v>
      </c>
      <c r="C32" s="75"/>
    </row>
    <row r="33" spans="1:3" ht="19.5" customHeight="1" x14ac:dyDescent="0.25">
      <c r="A33" s="76" t="s">
        <v>207</v>
      </c>
      <c r="B33" s="77" t="s">
        <v>208</v>
      </c>
      <c r="C33" s="77"/>
    </row>
    <row r="34" spans="1:3" ht="19.5" customHeight="1" x14ac:dyDescent="0.25">
      <c r="A34" s="74" t="s">
        <v>209</v>
      </c>
      <c r="B34" s="75" t="s">
        <v>210</v>
      </c>
      <c r="C34" s="75"/>
    </row>
    <row r="35" spans="1:3" ht="19.5" customHeight="1" x14ac:dyDescent="0.25">
      <c r="A35" s="76" t="s">
        <v>211</v>
      </c>
      <c r="B35" s="77" t="s">
        <v>212</v>
      </c>
      <c r="C35" s="77"/>
    </row>
    <row r="36" spans="1:3" x14ac:dyDescent="0.25">
      <c r="A36" s="58"/>
      <c r="B36" s="58"/>
      <c r="C36" s="58"/>
    </row>
    <row r="37" spans="1:3" ht="21.75" customHeight="1" x14ac:dyDescent="0.25">
      <c r="A37" s="73" t="s">
        <v>213</v>
      </c>
      <c r="B37" s="73"/>
      <c r="C37" s="73"/>
    </row>
    <row r="38" spans="1:3" ht="19.5" customHeight="1" x14ac:dyDescent="0.25">
      <c r="A38" s="74" t="s">
        <v>214</v>
      </c>
      <c r="B38" s="75" t="s">
        <v>215</v>
      </c>
      <c r="C38" s="75"/>
    </row>
    <row r="39" spans="1:3" ht="19.5" customHeight="1" x14ac:dyDescent="0.25">
      <c r="A39" s="76" t="s">
        <v>216</v>
      </c>
      <c r="B39" s="77" t="s">
        <v>217</v>
      </c>
      <c r="C39" s="77"/>
    </row>
    <row r="40" spans="1:3" ht="19.5" customHeight="1" x14ac:dyDescent="0.25">
      <c r="A40" s="74" t="s">
        <v>218</v>
      </c>
      <c r="B40" s="75" t="s">
        <v>219</v>
      </c>
      <c r="C40" s="75"/>
    </row>
    <row r="41" spans="1:3" ht="19.5" customHeight="1" x14ac:dyDescent="0.25">
      <c r="A41" s="76" t="s">
        <v>220</v>
      </c>
      <c r="B41" s="77" t="s">
        <v>221</v>
      </c>
      <c r="C41" s="77"/>
    </row>
    <row r="42" spans="1:3" ht="19.5" customHeight="1" x14ac:dyDescent="0.25">
      <c r="A42" s="74" t="s">
        <v>222</v>
      </c>
      <c r="B42" s="75" t="s">
        <v>223</v>
      </c>
      <c r="C42" s="75"/>
    </row>
    <row r="43" spans="1:3" ht="19.5" customHeight="1" x14ac:dyDescent="0.25">
      <c r="A43" s="76" t="s">
        <v>224</v>
      </c>
      <c r="B43" s="77" t="s">
        <v>225</v>
      </c>
      <c r="C43" s="77"/>
    </row>
    <row r="44" spans="1:3" ht="19.5" customHeight="1" x14ac:dyDescent="0.25">
      <c r="A44" s="74" t="s">
        <v>226</v>
      </c>
      <c r="B44" s="75" t="s">
        <v>227</v>
      </c>
      <c r="C44" s="75"/>
    </row>
    <row r="45" spans="1:3" ht="19.5" customHeight="1" x14ac:dyDescent="0.25">
      <c r="A45" s="76" t="s">
        <v>228</v>
      </c>
      <c r="B45" s="77" t="s">
        <v>229</v>
      </c>
      <c r="C45" s="77"/>
    </row>
  </sheetData>
  <mergeCells count="41">
    <mergeCell ref="B45:C45"/>
    <mergeCell ref="B40:C40"/>
    <mergeCell ref="B41:C41"/>
    <mergeCell ref="B42:C42"/>
    <mergeCell ref="B43:C43"/>
    <mergeCell ref="B44:C44"/>
    <mergeCell ref="B34:C34"/>
    <mergeCell ref="B35:C35"/>
    <mergeCell ref="A37:C37"/>
    <mergeCell ref="B38:C38"/>
    <mergeCell ref="B39:C39"/>
    <mergeCell ref="B29:C29"/>
    <mergeCell ref="B30:C30"/>
    <mergeCell ref="B31:C31"/>
    <mergeCell ref="B32:C32"/>
    <mergeCell ref="B33:C33"/>
    <mergeCell ref="B23:C23"/>
    <mergeCell ref="A25:C25"/>
    <mergeCell ref="B26:C26"/>
    <mergeCell ref="B27:C27"/>
    <mergeCell ref="B28:C28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8:C8"/>
    <mergeCell ref="B9:C9"/>
    <mergeCell ref="B10:C10"/>
    <mergeCell ref="A12:C12"/>
    <mergeCell ref="A1:C1"/>
    <mergeCell ref="A3:C3"/>
    <mergeCell ref="B4:C4"/>
    <mergeCell ref="B5:C5"/>
    <mergeCell ref="B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07"/>
  <sheetViews>
    <sheetView showGridLines="0" zoomScaleNormal="100" workbookViewId="0">
      <selection activeCell="I4" sqref="I4"/>
    </sheetView>
  </sheetViews>
  <sheetFormatPr baseColWidth="10" defaultColWidth="8.7109375" defaultRowHeight="15" x14ac:dyDescent="0.25"/>
  <cols>
    <col min="1" max="1" width="12" customWidth="1"/>
    <col min="2" max="2" width="14" customWidth="1"/>
    <col min="3" max="3" width="20" customWidth="1"/>
    <col min="4" max="5" width="16" customWidth="1"/>
    <col min="6" max="6" width="10.28515625" customWidth="1"/>
    <col min="7" max="7" width="14.42578125" customWidth="1"/>
    <col min="8" max="8" width="10" customWidth="1"/>
    <col min="9" max="11" width="12" customWidth="1"/>
  </cols>
  <sheetData>
    <row r="1" spans="1:11" ht="27.75" customHeight="1" x14ac:dyDescent="0.25">
      <c r="A1" s="45" t="s">
        <v>230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 ht="27.75" customHeight="1" x14ac:dyDescent="0.25">
      <c r="A2" s="46" t="s">
        <v>231</v>
      </c>
      <c r="B2" s="46"/>
      <c r="C2" s="46"/>
      <c r="D2" s="46"/>
      <c r="E2" s="46"/>
      <c r="F2" s="46"/>
      <c r="G2" s="46"/>
      <c r="H2" s="46"/>
      <c r="I2" s="46"/>
      <c r="J2" s="46"/>
      <c r="K2" s="46"/>
    </row>
    <row r="3" spans="1:11" ht="15.75" customHeight="1" x14ac:dyDescent="0.25">
      <c r="A3" s="47" t="s">
        <v>458</v>
      </c>
      <c r="B3" s="47"/>
      <c r="C3" s="47"/>
      <c r="D3" s="47"/>
      <c r="E3" s="47"/>
      <c r="F3" s="47"/>
      <c r="G3" s="47"/>
      <c r="H3" s="47"/>
      <c r="I3" s="47"/>
      <c r="J3" s="47"/>
      <c r="K3" s="47"/>
    </row>
    <row r="4" spans="1:11" ht="33.75" customHeight="1" x14ac:dyDescent="0.25">
      <c r="A4" s="20" t="s">
        <v>232</v>
      </c>
      <c r="B4" s="20" t="s">
        <v>233</v>
      </c>
      <c r="C4" s="20" t="s">
        <v>234</v>
      </c>
      <c r="D4" s="20" t="s">
        <v>235</v>
      </c>
      <c r="E4" s="20" t="s">
        <v>236</v>
      </c>
      <c r="F4" s="20" t="s">
        <v>237</v>
      </c>
      <c r="G4" s="20" t="s">
        <v>238</v>
      </c>
      <c r="H4" s="20" t="s">
        <v>239</v>
      </c>
      <c r="I4" s="20" t="s">
        <v>240</v>
      </c>
      <c r="J4" s="20" t="s">
        <v>241</v>
      </c>
      <c r="K4" s="20" t="s">
        <v>242</v>
      </c>
    </row>
    <row r="5" spans="1:11" ht="15" customHeight="1" x14ac:dyDescent="0.25">
      <c r="A5" s="21">
        <v>42005</v>
      </c>
      <c r="B5" s="22" t="s">
        <v>243</v>
      </c>
      <c r="C5" s="22" t="s">
        <v>244</v>
      </c>
      <c r="D5" s="22" t="s">
        <v>245</v>
      </c>
      <c r="E5" s="22" t="s">
        <v>246</v>
      </c>
      <c r="F5" s="23">
        <v>3</v>
      </c>
      <c r="G5" s="24">
        <v>2171</v>
      </c>
      <c r="H5" s="24">
        <v>3578</v>
      </c>
      <c r="I5" s="24">
        <v>6513</v>
      </c>
      <c r="J5" s="24">
        <v>8373</v>
      </c>
      <c r="K5" s="25">
        <f t="shared" ref="K5:K68" si="0">J5-I5</f>
        <v>1860</v>
      </c>
    </row>
    <row r="6" spans="1:11" ht="15" customHeight="1" x14ac:dyDescent="0.25">
      <c r="A6" s="26">
        <v>42005</v>
      </c>
      <c r="B6" s="27" t="s">
        <v>247</v>
      </c>
      <c r="C6" s="27" t="s">
        <v>248</v>
      </c>
      <c r="D6" s="27" t="s">
        <v>245</v>
      </c>
      <c r="E6" s="27" t="s">
        <v>246</v>
      </c>
      <c r="F6" s="28">
        <v>1</v>
      </c>
      <c r="G6" s="29">
        <v>1555</v>
      </c>
      <c r="H6" s="29">
        <v>2443</v>
      </c>
      <c r="I6" s="29">
        <v>1555</v>
      </c>
      <c r="J6" s="29">
        <v>2272</v>
      </c>
      <c r="K6" s="30">
        <f t="shared" si="0"/>
        <v>717</v>
      </c>
    </row>
    <row r="7" spans="1:11" ht="15" customHeight="1" x14ac:dyDescent="0.25">
      <c r="A7" s="21">
        <v>42005</v>
      </c>
      <c r="B7" s="22" t="s">
        <v>243</v>
      </c>
      <c r="C7" s="22" t="s">
        <v>244</v>
      </c>
      <c r="D7" s="22" t="s">
        <v>245</v>
      </c>
      <c r="E7" s="22" t="s">
        <v>249</v>
      </c>
      <c r="F7" s="23">
        <v>1</v>
      </c>
      <c r="G7" s="24">
        <v>1266</v>
      </c>
      <c r="H7" s="24">
        <v>2320</v>
      </c>
      <c r="I7" s="24">
        <v>1266</v>
      </c>
      <c r="J7" s="24">
        <v>2274</v>
      </c>
      <c r="K7" s="25">
        <f t="shared" si="0"/>
        <v>1008</v>
      </c>
    </row>
    <row r="8" spans="1:11" ht="15" customHeight="1" x14ac:dyDescent="0.25">
      <c r="A8" s="26">
        <v>42005</v>
      </c>
      <c r="B8" s="27" t="s">
        <v>243</v>
      </c>
      <c r="C8" s="27" t="s">
        <v>244</v>
      </c>
      <c r="D8" s="27" t="s">
        <v>245</v>
      </c>
      <c r="E8" s="27" t="s">
        <v>246</v>
      </c>
      <c r="F8" s="28">
        <v>1</v>
      </c>
      <c r="G8" s="29">
        <v>487</v>
      </c>
      <c r="H8" s="29">
        <v>783</v>
      </c>
      <c r="I8" s="29">
        <v>487</v>
      </c>
      <c r="J8" s="29">
        <v>673</v>
      </c>
      <c r="K8" s="30">
        <f t="shared" si="0"/>
        <v>186</v>
      </c>
    </row>
    <row r="9" spans="1:11" ht="15" customHeight="1" x14ac:dyDescent="0.25">
      <c r="A9" s="21">
        <v>42005</v>
      </c>
      <c r="B9" s="22" t="s">
        <v>250</v>
      </c>
      <c r="C9" s="22" t="s">
        <v>251</v>
      </c>
      <c r="D9" s="22" t="s">
        <v>245</v>
      </c>
      <c r="E9" s="22" t="s">
        <v>246</v>
      </c>
      <c r="F9" s="23">
        <v>1</v>
      </c>
      <c r="G9" s="24">
        <v>1083</v>
      </c>
      <c r="H9" s="24">
        <v>1701</v>
      </c>
      <c r="I9" s="24">
        <v>1083</v>
      </c>
      <c r="J9" s="24">
        <v>1429</v>
      </c>
      <c r="K9" s="25">
        <f t="shared" si="0"/>
        <v>346</v>
      </c>
    </row>
    <row r="10" spans="1:11" ht="15" customHeight="1" x14ac:dyDescent="0.25">
      <c r="A10" s="26">
        <v>42005</v>
      </c>
      <c r="B10" s="27" t="s">
        <v>252</v>
      </c>
      <c r="C10" s="27" t="s">
        <v>253</v>
      </c>
      <c r="D10" s="27" t="s">
        <v>245</v>
      </c>
      <c r="E10" s="27" t="s">
        <v>246</v>
      </c>
      <c r="F10" s="28">
        <v>1</v>
      </c>
      <c r="G10" s="29">
        <v>1555</v>
      </c>
      <c r="H10" s="29">
        <v>2443</v>
      </c>
      <c r="I10" s="29">
        <v>1555</v>
      </c>
      <c r="J10" s="29">
        <v>2003</v>
      </c>
      <c r="K10" s="30">
        <f t="shared" si="0"/>
        <v>448</v>
      </c>
    </row>
    <row r="11" spans="1:11" ht="15" customHeight="1" x14ac:dyDescent="0.25">
      <c r="A11" s="21">
        <v>42005</v>
      </c>
      <c r="B11" s="22" t="s">
        <v>243</v>
      </c>
      <c r="C11" s="22" t="s">
        <v>244</v>
      </c>
      <c r="D11" s="22" t="s">
        <v>245</v>
      </c>
      <c r="E11" s="22" t="s">
        <v>246</v>
      </c>
      <c r="F11" s="23">
        <v>3</v>
      </c>
      <c r="G11" s="24">
        <v>487</v>
      </c>
      <c r="H11" s="24">
        <v>783</v>
      </c>
      <c r="I11" s="24">
        <v>1461</v>
      </c>
      <c r="J11" s="24">
        <v>2232</v>
      </c>
      <c r="K11" s="25">
        <f t="shared" si="0"/>
        <v>771</v>
      </c>
    </row>
    <row r="12" spans="1:11" ht="15" customHeight="1" x14ac:dyDescent="0.25">
      <c r="A12" s="26">
        <v>42005</v>
      </c>
      <c r="B12" s="27" t="s">
        <v>250</v>
      </c>
      <c r="C12" s="27" t="s">
        <v>251</v>
      </c>
      <c r="D12" s="27" t="s">
        <v>245</v>
      </c>
      <c r="E12" s="27" t="s">
        <v>246</v>
      </c>
      <c r="F12" s="28">
        <v>1</v>
      </c>
      <c r="G12" s="29">
        <v>713</v>
      </c>
      <c r="H12" s="29">
        <v>1120</v>
      </c>
      <c r="I12" s="29">
        <v>713</v>
      </c>
      <c r="J12" s="29">
        <v>974</v>
      </c>
      <c r="K12" s="30">
        <f t="shared" si="0"/>
        <v>261</v>
      </c>
    </row>
    <row r="13" spans="1:11" ht="15" customHeight="1" x14ac:dyDescent="0.25">
      <c r="A13" s="21">
        <v>42006</v>
      </c>
      <c r="B13" s="22" t="s">
        <v>250</v>
      </c>
      <c r="C13" s="22" t="s">
        <v>251</v>
      </c>
      <c r="D13" s="22" t="s">
        <v>245</v>
      </c>
      <c r="E13" s="22" t="s">
        <v>246</v>
      </c>
      <c r="F13" s="23">
        <v>2</v>
      </c>
      <c r="G13" s="24">
        <v>2171</v>
      </c>
      <c r="H13" s="24">
        <v>3578</v>
      </c>
      <c r="I13" s="24">
        <v>4342</v>
      </c>
      <c r="J13" s="24">
        <v>6226</v>
      </c>
      <c r="K13" s="25">
        <f t="shared" si="0"/>
        <v>1884</v>
      </c>
    </row>
    <row r="14" spans="1:11" ht="15" customHeight="1" x14ac:dyDescent="0.25">
      <c r="A14" s="26">
        <v>42006</v>
      </c>
      <c r="B14" s="27" t="s">
        <v>252</v>
      </c>
      <c r="C14" s="27" t="s">
        <v>253</v>
      </c>
      <c r="D14" s="27" t="s">
        <v>245</v>
      </c>
      <c r="E14" s="27" t="s">
        <v>246</v>
      </c>
      <c r="F14" s="28">
        <v>1</v>
      </c>
      <c r="G14" s="29">
        <v>2171</v>
      </c>
      <c r="H14" s="29">
        <v>3578</v>
      </c>
      <c r="I14" s="29">
        <v>2171</v>
      </c>
      <c r="J14" s="29">
        <v>3435</v>
      </c>
      <c r="K14" s="30">
        <f t="shared" si="0"/>
        <v>1264</v>
      </c>
    </row>
    <row r="15" spans="1:11" ht="15" customHeight="1" x14ac:dyDescent="0.25">
      <c r="A15" s="21">
        <v>42006</v>
      </c>
      <c r="B15" s="22" t="s">
        <v>254</v>
      </c>
      <c r="C15" s="22" t="s">
        <v>255</v>
      </c>
      <c r="D15" s="22" t="s">
        <v>245</v>
      </c>
      <c r="E15" s="22" t="s">
        <v>246</v>
      </c>
      <c r="F15" s="23">
        <v>2</v>
      </c>
      <c r="G15" s="24">
        <v>1083</v>
      </c>
      <c r="H15" s="24">
        <v>1701</v>
      </c>
      <c r="I15" s="24">
        <v>2166</v>
      </c>
      <c r="J15" s="24">
        <v>3266</v>
      </c>
      <c r="K15" s="25">
        <f t="shared" si="0"/>
        <v>1100</v>
      </c>
    </row>
    <row r="16" spans="1:11" ht="15" customHeight="1" x14ac:dyDescent="0.25">
      <c r="A16" s="26">
        <v>42006</v>
      </c>
      <c r="B16" s="27" t="s">
        <v>243</v>
      </c>
      <c r="C16" s="27" t="s">
        <v>244</v>
      </c>
      <c r="D16" s="27" t="s">
        <v>245</v>
      </c>
      <c r="E16" s="27" t="s">
        <v>246</v>
      </c>
      <c r="F16" s="28">
        <v>1</v>
      </c>
      <c r="G16" s="29">
        <v>2171</v>
      </c>
      <c r="H16" s="29">
        <v>3578</v>
      </c>
      <c r="I16" s="29">
        <v>2171</v>
      </c>
      <c r="J16" s="29">
        <v>3506</v>
      </c>
      <c r="K16" s="30">
        <f t="shared" si="0"/>
        <v>1335</v>
      </c>
    </row>
    <row r="17" spans="1:11" ht="15" customHeight="1" x14ac:dyDescent="0.25">
      <c r="A17" s="21">
        <v>42006</v>
      </c>
      <c r="B17" s="22" t="s">
        <v>247</v>
      </c>
      <c r="C17" s="22" t="s">
        <v>248</v>
      </c>
      <c r="D17" s="22" t="s">
        <v>245</v>
      </c>
      <c r="E17" s="22" t="s">
        <v>246</v>
      </c>
      <c r="F17" s="23">
        <v>2</v>
      </c>
      <c r="G17" s="24">
        <v>1083</v>
      </c>
      <c r="H17" s="24">
        <v>1701</v>
      </c>
      <c r="I17" s="24">
        <v>2166</v>
      </c>
      <c r="J17" s="24">
        <v>2960</v>
      </c>
      <c r="K17" s="25">
        <f t="shared" si="0"/>
        <v>794</v>
      </c>
    </row>
    <row r="18" spans="1:11" ht="15" customHeight="1" x14ac:dyDescent="0.25">
      <c r="A18" s="26">
        <v>42006</v>
      </c>
      <c r="B18" s="27" t="s">
        <v>247</v>
      </c>
      <c r="C18" s="27" t="s">
        <v>248</v>
      </c>
      <c r="D18" s="27" t="s">
        <v>245</v>
      </c>
      <c r="E18" s="27" t="s">
        <v>249</v>
      </c>
      <c r="F18" s="28">
        <v>1</v>
      </c>
      <c r="G18" s="29">
        <v>1252</v>
      </c>
      <c r="H18" s="29">
        <v>2295</v>
      </c>
      <c r="I18" s="29">
        <v>1252</v>
      </c>
      <c r="J18" s="29">
        <v>2134</v>
      </c>
      <c r="K18" s="30">
        <f t="shared" si="0"/>
        <v>882</v>
      </c>
    </row>
    <row r="19" spans="1:11" ht="15" customHeight="1" x14ac:dyDescent="0.25">
      <c r="A19" s="21">
        <v>42006</v>
      </c>
      <c r="B19" s="22" t="s">
        <v>250</v>
      </c>
      <c r="C19" s="22" t="s">
        <v>251</v>
      </c>
      <c r="D19" s="22" t="s">
        <v>245</v>
      </c>
      <c r="E19" s="22" t="s">
        <v>246</v>
      </c>
      <c r="F19" s="23">
        <v>1</v>
      </c>
      <c r="G19" s="24">
        <v>344</v>
      </c>
      <c r="H19" s="24">
        <v>540</v>
      </c>
      <c r="I19" s="24">
        <v>344</v>
      </c>
      <c r="J19" s="24">
        <v>470</v>
      </c>
      <c r="K19" s="25">
        <f t="shared" si="0"/>
        <v>126</v>
      </c>
    </row>
    <row r="20" spans="1:11" ht="15" customHeight="1" x14ac:dyDescent="0.25">
      <c r="A20" s="26">
        <v>42006</v>
      </c>
      <c r="B20" s="27" t="s">
        <v>250</v>
      </c>
      <c r="C20" s="27" t="s">
        <v>251</v>
      </c>
      <c r="D20" s="27" t="s">
        <v>245</v>
      </c>
      <c r="E20" s="27" t="s">
        <v>249</v>
      </c>
      <c r="F20" s="28">
        <v>1</v>
      </c>
      <c r="G20" s="29">
        <v>1266</v>
      </c>
      <c r="H20" s="29">
        <v>2320</v>
      </c>
      <c r="I20" s="29">
        <v>1266</v>
      </c>
      <c r="J20" s="29">
        <v>1949</v>
      </c>
      <c r="K20" s="30">
        <f t="shared" si="0"/>
        <v>683</v>
      </c>
    </row>
    <row r="21" spans="1:11" ht="15" customHeight="1" x14ac:dyDescent="0.25">
      <c r="A21" s="21">
        <v>42006</v>
      </c>
      <c r="B21" s="22" t="s">
        <v>250</v>
      </c>
      <c r="C21" s="22" t="s">
        <v>251</v>
      </c>
      <c r="D21" s="22" t="s">
        <v>245</v>
      </c>
      <c r="E21" s="22" t="s">
        <v>249</v>
      </c>
      <c r="F21" s="23">
        <v>1</v>
      </c>
      <c r="G21" s="24">
        <v>1266</v>
      </c>
      <c r="H21" s="24">
        <v>2320</v>
      </c>
      <c r="I21" s="24">
        <v>1266</v>
      </c>
      <c r="J21" s="24">
        <v>2018</v>
      </c>
      <c r="K21" s="25">
        <f t="shared" si="0"/>
        <v>752</v>
      </c>
    </row>
    <row r="22" spans="1:11" ht="15" customHeight="1" x14ac:dyDescent="0.25">
      <c r="A22" s="26">
        <v>42006</v>
      </c>
      <c r="B22" s="27" t="s">
        <v>254</v>
      </c>
      <c r="C22" s="27" t="s">
        <v>255</v>
      </c>
      <c r="D22" s="27" t="s">
        <v>245</v>
      </c>
      <c r="E22" s="27" t="s">
        <v>246</v>
      </c>
      <c r="F22" s="28">
        <v>1</v>
      </c>
      <c r="G22" s="29">
        <v>344</v>
      </c>
      <c r="H22" s="29">
        <v>540</v>
      </c>
      <c r="I22" s="29">
        <v>344</v>
      </c>
      <c r="J22" s="29">
        <v>518</v>
      </c>
      <c r="K22" s="30">
        <f t="shared" si="0"/>
        <v>174</v>
      </c>
    </row>
    <row r="23" spans="1:11" ht="15" customHeight="1" x14ac:dyDescent="0.25">
      <c r="A23" s="21">
        <v>42006</v>
      </c>
      <c r="B23" s="22" t="s">
        <v>254</v>
      </c>
      <c r="C23" s="22" t="s">
        <v>255</v>
      </c>
      <c r="D23" s="22" t="s">
        <v>245</v>
      </c>
      <c r="E23" s="22" t="s">
        <v>246</v>
      </c>
      <c r="F23" s="23">
        <v>1</v>
      </c>
      <c r="G23" s="24">
        <v>344</v>
      </c>
      <c r="H23" s="24">
        <v>540</v>
      </c>
      <c r="I23" s="24">
        <v>344</v>
      </c>
      <c r="J23" s="24">
        <v>518</v>
      </c>
      <c r="K23" s="25">
        <f t="shared" si="0"/>
        <v>174</v>
      </c>
    </row>
    <row r="24" spans="1:11" ht="15" customHeight="1" x14ac:dyDescent="0.25">
      <c r="A24" s="26">
        <v>42006</v>
      </c>
      <c r="B24" s="27" t="s">
        <v>250</v>
      </c>
      <c r="C24" s="27" t="s">
        <v>251</v>
      </c>
      <c r="D24" s="27" t="s">
        <v>245</v>
      </c>
      <c r="E24" s="27" t="s">
        <v>249</v>
      </c>
      <c r="F24" s="28">
        <v>1</v>
      </c>
      <c r="G24" s="29">
        <v>1252</v>
      </c>
      <c r="H24" s="29">
        <v>2295</v>
      </c>
      <c r="I24" s="29">
        <v>1252</v>
      </c>
      <c r="J24" s="29">
        <v>1997</v>
      </c>
      <c r="K24" s="30">
        <f t="shared" si="0"/>
        <v>745</v>
      </c>
    </row>
    <row r="25" spans="1:11" ht="15" customHeight="1" x14ac:dyDescent="0.25">
      <c r="A25" s="21">
        <v>42007</v>
      </c>
      <c r="B25" s="22" t="s">
        <v>250</v>
      </c>
      <c r="C25" s="22" t="s">
        <v>251</v>
      </c>
      <c r="D25" s="22" t="s">
        <v>245</v>
      </c>
      <c r="E25" s="22" t="s">
        <v>246</v>
      </c>
      <c r="F25" s="23">
        <v>2</v>
      </c>
      <c r="G25" s="24">
        <v>1083</v>
      </c>
      <c r="H25" s="24">
        <v>1701</v>
      </c>
      <c r="I25" s="24">
        <v>2166</v>
      </c>
      <c r="J25" s="24">
        <v>2858</v>
      </c>
      <c r="K25" s="25">
        <f t="shared" si="0"/>
        <v>692</v>
      </c>
    </row>
    <row r="26" spans="1:11" ht="15" customHeight="1" x14ac:dyDescent="0.25">
      <c r="A26" s="26">
        <v>42007</v>
      </c>
      <c r="B26" s="27" t="s">
        <v>250</v>
      </c>
      <c r="C26" s="27" t="s">
        <v>251</v>
      </c>
      <c r="D26" s="27" t="s">
        <v>245</v>
      </c>
      <c r="E26" s="27" t="s">
        <v>249</v>
      </c>
      <c r="F26" s="28">
        <v>1</v>
      </c>
      <c r="G26" s="29">
        <v>1252</v>
      </c>
      <c r="H26" s="29">
        <v>2295</v>
      </c>
      <c r="I26" s="29">
        <v>1252</v>
      </c>
      <c r="J26" s="29">
        <v>1813</v>
      </c>
      <c r="K26" s="30">
        <f t="shared" si="0"/>
        <v>561</v>
      </c>
    </row>
    <row r="27" spans="1:11" ht="15" customHeight="1" x14ac:dyDescent="0.25">
      <c r="A27" s="21">
        <v>42007</v>
      </c>
      <c r="B27" s="22" t="s">
        <v>256</v>
      </c>
      <c r="C27" s="22" t="s">
        <v>257</v>
      </c>
      <c r="D27" s="22" t="s">
        <v>245</v>
      </c>
      <c r="E27" s="22" t="s">
        <v>246</v>
      </c>
      <c r="F27" s="23">
        <v>2</v>
      </c>
      <c r="G27" s="24">
        <v>2171</v>
      </c>
      <c r="H27" s="24">
        <v>3578</v>
      </c>
      <c r="I27" s="24">
        <v>4342</v>
      </c>
      <c r="J27" s="24">
        <v>7084</v>
      </c>
      <c r="K27" s="25">
        <f t="shared" si="0"/>
        <v>2742</v>
      </c>
    </row>
    <row r="28" spans="1:11" ht="15" customHeight="1" x14ac:dyDescent="0.25">
      <c r="A28" s="26">
        <v>42007</v>
      </c>
      <c r="B28" s="27" t="s">
        <v>243</v>
      </c>
      <c r="C28" s="27" t="s">
        <v>244</v>
      </c>
      <c r="D28" s="27" t="s">
        <v>245</v>
      </c>
      <c r="E28" s="27" t="s">
        <v>246</v>
      </c>
      <c r="F28" s="28">
        <v>3</v>
      </c>
      <c r="G28" s="29">
        <v>487</v>
      </c>
      <c r="H28" s="29">
        <v>783</v>
      </c>
      <c r="I28" s="29">
        <v>1461</v>
      </c>
      <c r="J28" s="29">
        <v>2302</v>
      </c>
      <c r="K28" s="30">
        <f t="shared" si="0"/>
        <v>841</v>
      </c>
    </row>
    <row r="29" spans="1:11" ht="15" customHeight="1" x14ac:dyDescent="0.25">
      <c r="A29" s="21">
        <v>42007</v>
      </c>
      <c r="B29" s="22" t="s">
        <v>254</v>
      </c>
      <c r="C29" s="22" t="s">
        <v>255</v>
      </c>
      <c r="D29" s="22" t="s">
        <v>245</v>
      </c>
      <c r="E29" s="22" t="s">
        <v>249</v>
      </c>
      <c r="F29" s="23">
        <v>1</v>
      </c>
      <c r="G29" s="24">
        <v>1266</v>
      </c>
      <c r="H29" s="24">
        <v>2320</v>
      </c>
      <c r="I29" s="24">
        <v>1266</v>
      </c>
      <c r="J29" s="24">
        <v>2227</v>
      </c>
      <c r="K29" s="25">
        <f t="shared" si="0"/>
        <v>961</v>
      </c>
    </row>
    <row r="30" spans="1:11" ht="15" customHeight="1" x14ac:dyDescent="0.25">
      <c r="A30" s="26">
        <v>42007</v>
      </c>
      <c r="B30" s="27" t="s">
        <v>254</v>
      </c>
      <c r="C30" s="27" t="s">
        <v>255</v>
      </c>
      <c r="D30" s="27" t="s">
        <v>245</v>
      </c>
      <c r="E30" s="27" t="s">
        <v>246</v>
      </c>
      <c r="F30" s="28">
        <v>1</v>
      </c>
      <c r="G30" s="29">
        <v>1555</v>
      </c>
      <c r="H30" s="29">
        <v>2443</v>
      </c>
      <c r="I30" s="29">
        <v>1555</v>
      </c>
      <c r="J30" s="29">
        <v>2345</v>
      </c>
      <c r="K30" s="30">
        <f t="shared" si="0"/>
        <v>790</v>
      </c>
    </row>
    <row r="31" spans="1:11" ht="15" customHeight="1" x14ac:dyDescent="0.25">
      <c r="A31" s="21">
        <v>42007</v>
      </c>
      <c r="B31" s="22" t="s">
        <v>250</v>
      </c>
      <c r="C31" s="22" t="s">
        <v>251</v>
      </c>
      <c r="D31" s="22" t="s">
        <v>245</v>
      </c>
      <c r="E31" s="22" t="s">
        <v>249</v>
      </c>
      <c r="F31" s="23">
        <v>1</v>
      </c>
      <c r="G31" s="24">
        <v>1266</v>
      </c>
      <c r="H31" s="24">
        <v>2320</v>
      </c>
      <c r="I31" s="24">
        <v>1266</v>
      </c>
      <c r="J31" s="24">
        <v>2018</v>
      </c>
      <c r="K31" s="25">
        <f t="shared" si="0"/>
        <v>752</v>
      </c>
    </row>
    <row r="32" spans="1:11" ht="15" customHeight="1" x14ac:dyDescent="0.25">
      <c r="A32" s="26">
        <v>42008</v>
      </c>
      <c r="B32" s="27" t="s">
        <v>250</v>
      </c>
      <c r="C32" s="27" t="s">
        <v>251</v>
      </c>
      <c r="D32" s="27" t="s">
        <v>245</v>
      </c>
      <c r="E32" s="27" t="s">
        <v>246</v>
      </c>
      <c r="F32" s="28">
        <v>1</v>
      </c>
      <c r="G32" s="29">
        <v>713</v>
      </c>
      <c r="H32" s="29">
        <v>1120</v>
      </c>
      <c r="I32" s="29">
        <v>713</v>
      </c>
      <c r="J32" s="29">
        <v>885</v>
      </c>
      <c r="K32" s="30">
        <f t="shared" si="0"/>
        <v>172</v>
      </c>
    </row>
    <row r="33" spans="1:11" ht="15" customHeight="1" x14ac:dyDescent="0.25">
      <c r="A33" s="21">
        <v>42008</v>
      </c>
      <c r="B33" s="22" t="s">
        <v>250</v>
      </c>
      <c r="C33" s="22" t="s">
        <v>251</v>
      </c>
      <c r="D33" s="22" t="s">
        <v>245</v>
      </c>
      <c r="E33" s="22" t="s">
        <v>246</v>
      </c>
      <c r="F33" s="23">
        <v>1</v>
      </c>
      <c r="G33" s="24">
        <v>1083</v>
      </c>
      <c r="H33" s="24">
        <v>1701</v>
      </c>
      <c r="I33" s="24">
        <v>1083</v>
      </c>
      <c r="J33" s="24">
        <v>1395</v>
      </c>
      <c r="K33" s="25">
        <f t="shared" si="0"/>
        <v>312</v>
      </c>
    </row>
    <row r="34" spans="1:11" ht="15" customHeight="1" x14ac:dyDescent="0.25">
      <c r="A34" s="26">
        <v>42008</v>
      </c>
      <c r="B34" s="27" t="s">
        <v>250</v>
      </c>
      <c r="C34" s="27" t="s">
        <v>251</v>
      </c>
      <c r="D34" s="27" t="s">
        <v>245</v>
      </c>
      <c r="E34" s="27" t="s">
        <v>246</v>
      </c>
      <c r="F34" s="28">
        <v>3</v>
      </c>
      <c r="G34" s="29">
        <v>1083</v>
      </c>
      <c r="H34" s="29">
        <v>1701</v>
      </c>
      <c r="I34" s="29">
        <v>3249</v>
      </c>
      <c r="J34" s="29">
        <v>4184</v>
      </c>
      <c r="K34" s="30">
        <f t="shared" si="0"/>
        <v>935</v>
      </c>
    </row>
    <row r="35" spans="1:11" ht="15" customHeight="1" x14ac:dyDescent="0.25">
      <c r="A35" s="21">
        <v>42008</v>
      </c>
      <c r="B35" s="22" t="s">
        <v>247</v>
      </c>
      <c r="C35" s="22" t="s">
        <v>248</v>
      </c>
      <c r="D35" s="22" t="s">
        <v>245</v>
      </c>
      <c r="E35" s="22" t="s">
        <v>246</v>
      </c>
      <c r="F35" s="23">
        <v>2</v>
      </c>
      <c r="G35" s="24">
        <v>1083</v>
      </c>
      <c r="H35" s="24">
        <v>1701</v>
      </c>
      <c r="I35" s="24">
        <v>2166</v>
      </c>
      <c r="J35" s="24">
        <v>2960</v>
      </c>
      <c r="K35" s="25">
        <f t="shared" si="0"/>
        <v>794</v>
      </c>
    </row>
    <row r="36" spans="1:11" ht="15" customHeight="1" x14ac:dyDescent="0.25">
      <c r="A36" s="26">
        <v>42008</v>
      </c>
      <c r="B36" s="27" t="s">
        <v>250</v>
      </c>
      <c r="C36" s="27" t="s">
        <v>251</v>
      </c>
      <c r="D36" s="27" t="s">
        <v>245</v>
      </c>
      <c r="E36" s="27" t="s">
        <v>246</v>
      </c>
      <c r="F36" s="28">
        <v>1</v>
      </c>
      <c r="G36" s="29">
        <v>1083</v>
      </c>
      <c r="H36" s="29">
        <v>1701</v>
      </c>
      <c r="I36" s="29">
        <v>1083</v>
      </c>
      <c r="J36" s="29">
        <v>1480</v>
      </c>
      <c r="K36" s="30">
        <f t="shared" si="0"/>
        <v>397</v>
      </c>
    </row>
    <row r="37" spans="1:11" ht="15" customHeight="1" x14ac:dyDescent="0.25">
      <c r="A37" s="21">
        <v>42008</v>
      </c>
      <c r="B37" s="22" t="s">
        <v>250</v>
      </c>
      <c r="C37" s="22" t="s">
        <v>251</v>
      </c>
      <c r="D37" s="22" t="s">
        <v>245</v>
      </c>
      <c r="E37" s="22" t="s">
        <v>246</v>
      </c>
      <c r="F37" s="23">
        <v>1</v>
      </c>
      <c r="G37" s="24">
        <v>1083</v>
      </c>
      <c r="H37" s="24">
        <v>1701</v>
      </c>
      <c r="I37" s="24">
        <v>1083</v>
      </c>
      <c r="J37" s="24">
        <v>1480</v>
      </c>
      <c r="K37" s="25">
        <f t="shared" si="0"/>
        <v>397</v>
      </c>
    </row>
    <row r="38" spans="1:11" ht="15" customHeight="1" x14ac:dyDescent="0.25">
      <c r="A38" s="26">
        <v>42008</v>
      </c>
      <c r="B38" s="27" t="s">
        <v>254</v>
      </c>
      <c r="C38" s="27" t="s">
        <v>255</v>
      </c>
      <c r="D38" s="27" t="s">
        <v>245</v>
      </c>
      <c r="E38" s="27" t="s">
        <v>246</v>
      </c>
      <c r="F38" s="28">
        <v>1</v>
      </c>
      <c r="G38" s="29">
        <v>344</v>
      </c>
      <c r="H38" s="29">
        <v>540</v>
      </c>
      <c r="I38" s="29">
        <v>344</v>
      </c>
      <c r="J38" s="29">
        <v>518</v>
      </c>
      <c r="K38" s="30">
        <f t="shared" si="0"/>
        <v>174</v>
      </c>
    </row>
    <row r="39" spans="1:11" ht="15" customHeight="1" x14ac:dyDescent="0.25">
      <c r="A39" s="21">
        <v>42008</v>
      </c>
      <c r="B39" s="22" t="s">
        <v>243</v>
      </c>
      <c r="C39" s="22" t="s">
        <v>244</v>
      </c>
      <c r="D39" s="22" t="s">
        <v>245</v>
      </c>
      <c r="E39" s="22" t="s">
        <v>249</v>
      </c>
      <c r="F39" s="23">
        <v>2</v>
      </c>
      <c r="G39" s="24">
        <v>295</v>
      </c>
      <c r="H39" s="24">
        <v>540</v>
      </c>
      <c r="I39" s="24">
        <v>590</v>
      </c>
      <c r="J39" s="24">
        <v>842</v>
      </c>
      <c r="K39" s="25">
        <f t="shared" si="0"/>
        <v>252</v>
      </c>
    </row>
    <row r="40" spans="1:11" ht="15" customHeight="1" x14ac:dyDescent="0.25">
      <c r="A40" s="26">
        <v>42009</v>
      </c>
      <c r="B40" s="27" t="s">
        <v>250</v>
      </c>
      <c r="C40" s="27" t="s">
        <v>251</v>
      </c>
      <c r="D40" s="27" t="s">
        <v>245</v>
      </c>
      <c r="E40" s="27" t="s">
        <v>246</v>
      </c>
      <c r="F40" s="28">
        <v>3</v>
      </c>
      <c r="G40" s="29">
        <v>2171</v>
      </c>
      <c r="H40" s="29">
        <v>3578</v>
      </c>
      <c r="I40" s="29">
        <v>6513</v>
      </c>
      <c r="J40" s="29">
        <v>8480</v>
      </c>
      <c r="K40" s="30">
        <f t="shared" si="0"/>
        <v>1967</v>
      </c>
    </row>
    <row r="41" spans="1:11" ht="15" customHeight="1" x14ac:dyDescent="0.25">
      <c r="A41" s="21">
        <v>42009</v>
      </c>
      <c r="B41" s="22" t="s">
        <v>250</v>
      </c>
      <c r="C41" s="22" t="s">
        <v>251</v>
      </c>
      <c r="D41" s="22" t="s">
        <v>245</v>
      </c>
      <c r="E41" s="22" t="s">
        <v>249</v>
      </c>
      <c r="F41" s="23">
        <v>1</v>
      </c>
      <c r="G41" s="24">
        <v>1252</v>
      </c>
      <c r="H41" s="24">
        <v>2295</v>
      </c>
      <c r="I41" s="24">
        <v>1252</v>
      </c>
      <c r="J41" s="24">
        <v>1813</v>
      </c>
      <c r="K41" s="25">
        <f t="shared" si="0"/>
        <v>561</v>
      </c>
    </row>
    <row r="42" spans="1:11" ht="15" customHeight="1" x14ac:dyDescent="0.25">
      <c r="A42" s="26">
        <v>42009</v>
      </c>
      <c r="B42" s="27" t="s">
        <v>254</v>
      </c>
      <c r="C42" s="27" t="s">
        <v>255</v>
      </c>
      <c r="D42" s="27" t="s">
        <v>245</v>
      </c>
      <c r="E42" s="27" t="s">
        <v>246</v>
      </c>
      <c r="F42" s="28">
        <v>1</v>
      </c>
      <c r="G42" s="29">
        <v>344</v>
      </c>
      <c r="H42" s="29">
        <v>540</v>
      </c>
      <c r="I42" s="29">
        <v>344</v>
      </c>
      <c r="J42" s="29">
        <v>518</v>
      </c>
      <c r="K42" s="30">
        <f t="shared" si="0"/>
        <v>174</v>
      </c>
    </row>
    <row r="43" spans="1:11" ht="15" customHeight="1" x14ac:dyDescent="0.25">
      <c r="A43" s="21">
        <v>42009</v>
      </c>
      <c r="B43" s="22" t="s">
        <v>250</v>
      </c>
      <c r="C43" s="22" t="s">
        <v>251</v>
      </c>
      <c r="D43" s="22" t="s">
        <v>245</v>
      </c>
      <c r="E43" s="22" t="s">
        <v>246</v>
      </c>
      <c r="F43" s="23">
        <v>2</v>
      </c>
      <c r="G43" s="24">
        <v>1555</v>
      </c>
      <c r="H43" s="24">
        <v>2443</v>
      </c>
      <c r="I43" s="24">
        <v>3110</v>
      </c>
      <c r="J43" s="24">
        <v>4251</v>
      </c>
      <c r="K43" s="25">
        <f t="shared" si="0"/>
        <v>1141</v>
      </c>
    </row>
    <row r="44" spans="1:11" ht="15" customHeight="1" x14ac:dyDescent="0.25">
      <c r="A44" s="26">
        <v>42009</v>
      </c>
      <c r="B44" s="27" t="s">
        <v>256</v>
      </c>
      <c r="C44" s="27" t="s">
        <v>257</v>
      </c>
      <c r="D44" s="27" t="s">
        <v>245</v>
      </c>
      <c r="E44" s="27" t="s">
        <v>249</v>
      </c>
      <c r="F44" s="28">
        <v>1</v>
      </c>
      <c r="G44" s="29">
        <v>1266</v>
      </c>
      <c r="H44" s="29">
        <v>2320</v>
      </c>
      <c r="I44" s="29">
        <v>1266</v>
      </c>
      <c r="J44" s="29">
        <v>2297</v>
      </c>
      <c r="K44" s="30">
        <f t="shared" si="0"/>
        <v>1031</v>
      </c>
    </row>
    <row r="45" spans="1:11" ht="15" customHeight="1" x14ac:dyDescent="0.25">
      <c r="A45" s="21">
        <v>42009</v>
      </c>
      <c r="B45" s="22" t="s">
        <v>254</v>
      </c>
      <c r="C45" s="22" t="s">
        <v>255</v>
      </c>
      <c r="D45" s="22" t="s">
        <v>245</v>
      </c>
      <c r="E45" s="22" t="s">
        <v>246</v>
      </c>
      <c r="F45" s="23">
        <v>1</v>
      </c>
      <c r="G45" s="24">
        <v>2171</v>
      </c>
      <c r="H45" s="24">
        <v>3578</v>
      </c>
      <c r="I45" s="24">
        <v>2171</v>
      </c>
      <c r="J45" s="24">
        <v>3435</v>
      </c>
      <c r="K45" s="25">
        <f t="shared" si="0"/>
        <v>1264</v>
      </c>
    </row>
    <row r="46" spans="1:11" ht="15" customHeight="1" x14ac:dyDescent="0.25">
      <c r="A46" s="26">
        <v>42009</v>
      </c>
      <c r="B46" s="27" t="s">
        <v>243</v>
      </c>
      <c r="C46" s="27" t="s">
        <v>244</v>
      </c>
      <c r="D46" s="27" t="s">
        <v>245</v>
      </c>
      <c r="E46" s="27" t="s">
        <v>249</v>
      </c>
      <c r="F46" s="28">
        <v>1</v>
      </c>
      <c r="G46" s="29">
        <v>308</v>
      </c>
      <c r="H46" s="29">
        <v>565</v>
      </c>
      <c r="I46" s="29">
        <v>308</v>
      </c>
      <c r="J46" s="29">
        <v>554</v>
      </c>
      <c r="K46" s="30">
        <f t="shared" si="0"/>
        <v>246</v>
      </c>
    </row>
    <row r="47" spans="1:11" ht="15" customHeight="1" x14ac:dyDescent="0.25">
      <c r="A47" s="21">
        <v>42010</v>
      </c>
      <c r="B47" s="22" t="s">
        <v>250</v>
      </c>
      <c r="C47" s="22" t="s">
        <v>251</v>
      </c>
      <c r="D47" s="22" t="s">
        <v>245</v>
      </c>
      <c r="E47" s="22" t="s">
        <v>246</v>
      </c>
      <c r="F47" s="23">
        <v>2</v>
      </c>
      <c r="G47" s="24">
        <v>1555</v>
      </c>
      <c r="H47" s="24">
        <v>2443</v>
      </c>
      <c r="I47" s="24">
        <v>3110</v>
      </c>
      <c r="J47" s="24">
        <v>4007</v>
      </c>
      <c r="K47" s="25">
        <f t="shared" si="0"/>
        <v>897</v>
      </c>
    </row>
    <row r="48" spans="1:11" ht="15" customHeight="1" x14ac:dyDescent="0.25">
      <c r="A48" s="26">
        <v>42010</v>
      </c>
      <c r="B48" s="27" t="s">
        <v>250</v>
      </c>
      <c r="C48" s="27" t="s">
        <v>251</v>
      </c>
      <c r="D48" s="27" t="s">
        <v>245</v>
      </c>
      <c r="E48" s="27" t="s">
        <v>246</v>
      </c>
      <c r="F48" s="28">
        <v>2</v>
      </c>
      <c r="G48" s="29">
        <v>713</v>
      </c>
      <c r="H48" s="29">
        <v>1120</v>
      </c>
      <c r="I48" s="29">
        <v>1426</v>
      </c>
      <c r="J48" s="29">
        <v>1837</v>
      </c>
      <c r="K48" s="30">
        <f t="shared" si="0"/>
        <v>411</v>
      </c>
    </row>
    <row r="49" spans="1:11" ht="15" customHeight="1" x14ac:dyDescent="0.25">
      <c r="A49" s="21">
        <v>42011</v>
      </c>
      <c r="B49" s="22" t="s">
        <v>243</v>
      </c>
      <c r="C49" s="22" t="s">
        <v>244</v>
      </c>
      <c r="D49" s="22" t="s">
        <v>245</v>
      </c>
      <c r="E49" s="22" t="s">
        <v>246</v>
      </c>
      <c r="F49" s="23">
        <v>2</v>
      </c>
      <c r="G49" s="24">
        <v>2171</v>
      </c>
      <c r="H49" s="24">
        <v>3578</v>
      </c>
      <c r="I49" s="24">
        <v>4342</v>
      </c>
      <c r="J49" s="24">
        <v>6154</v>
      </c>
      <c r="K49" s="25">
        <f t="shared" si="0"/>
        <v>1812</v>
      </c>
    </row>
    <row r="50" spans="1:11" ht="15" customHeight="1" x14ac:dyDescent="0.25">
      <c r="A50" s="26">
        <v>42011</v>
      </c>
      <c r="B50" s="27" t="s">
        <v>252</v>
      </c>
      <c r="C50" s="27" t="s">
        <v>253</v>
      </c>
      <c r="D50" s="27" t="s">
        <v>245</v>
      </c>
      <c r="E50" s="27" t="s">
        <v>246</v>
      </c>
      <c r="F50" s="28">
        <v>3</v>
      </c>
      <c r="G50" s="29">
        <v>1555</v>
      </c>
      <c r="H50" s="29">
        <v>2443</v>
      </c>
      <c r="I50" s="29">
        <v>4665</v>
      </c>
      <c r="J50" s="29">
        <v>6010</v>
      </c>
      <c r="K50" s="30">
        <f t="shared" si="0"/>
        <v>1345</v>
      </c>
    </row>
    <row r="51" spans="1:11" ht="15" customHeight="1" x14ac:dyDescent="0.25">
      <c r="A51" s="21">
        <v>42011</v>
      </c>
      <c r="B51" s="22" t="s">
        <v>254</v>
      </c>
      <c r="C51" s="22" t="s">
        <v>255</v>
      </c>
      <c r="D51" s="22" t="s">
        <v>245</v>
      </c>
      <c r="E51" s="22" t="s">
        <v>249</v>
      </c>
      <c r="F51" s="23">
        <v>3</v>
      </c>
      <c r="G51" s="24">
        <v>1252</v>
      </c>
      <c r="H51" s="24">
        <v>2295</v>
      </c>
      <c r="I51" s="24">
        <v>3756</v>
      </c>
      <c r="J51" s="24">
        <v>6610</v>
      </c>
      <c r="K51" s="25">
        <f t="shared" si="0"/>
        <v>2854</v>
      </c>
    </row>
    <row r="52" spans="1:11" ht="15" customHeight="1" x14ac:dyDescent="0.25">
      <c r="A52" s="26">
        <v>42011</v>
      </c>
      <c r="B52" s="27" t="s">
        <v>250</v>
      </c>
      <c r="C52" s="27" t="s">
        <v>251</v>
      </c>
      <c r="D52" s="27" t="s">
        <v>245</v>
      </c>
      <c r="E52" s="27" t="s">
        <v>249</v>
      </c>
      <c r="F52" s="28">
        <v>2</v>
      </c>
      <c r="G52" s="29">
        <v>1266</v>
      </c>
      <c r="H52" s="29">
        <v>2320</v>
      </c>
      <c r="I52" s="29">
        <v>2532</v>
      </c>
      <c r="J52" s="29">
        <v>3805</v>
      </c>
      <c r="K52" s="30">
        <f t="shared" si="0"/>
        <v>1273</v>
      </c>
    </row>
    <row r="53" spans="1:11" ht="15" customHeight="1" x14ac:dyDescent="0.25">
      <c r="A53" s="21">
        <v>42011</v>
      </c>
      <c r="B53" s="22" t="s">
        <v>250</v>
      </c>
      <c r="C53" s="22" t="s">
        <v>251</v>
      </c>
      <c r="D53" s="22" t="s">
        <v>245</v>
      </c>
      <c r="E53" s="22" t="s">
        <v>249</v>
      </c>
      <c r="F53" s="23">
        <v>1</v>
      </c>
      <c r="G53" s="24">
        <v>308</v>
      </c>
      <c r="H53" s="24">
        <v>565</v>
      </c>
      <c r="I53" s="24">
        <v>308</v>
      </c>
      <c r="J53" s="24">
        <v>492</v>
      </c>
      <c r="K53" s="25">
        <f t="shared" si="0"/>
        <v>184</v>
      </c>
    </row>
    <row r="54" spans="1:11" ht="15" customHeight="1" x14ac:dyDescent="0.25">
      <c r="A54" s="26">
        <v>42011</v>
      </c>
      <c r="B54" s="27" t="s">
        <v>243</v>
      </c>
      <c r="C54" s="27" t="s">
        <v>244</v>
      </c>
      <c r="D54" s="27" t="s">
        <v>245</v>
      </c>
      <c r="E54" s="27" t="s">
        <v>246</v>
      </c>
      <c r="F54" s="28">
        <v>2</v>
      </c>
      <c r="G54" s="29">
        <v>1519</v>
      </c>
      <c r="H54" s="29">
        <v>2443</v>
      </c>
      <c r="I54" s="29">
        <v>3038</v>
      </c>
      <c r="J54" s="29">
        <v>3811</v>
      </c>
      <c r="K54" s="30">
        <f t="shared" si="0"/>
        <v>773</v>
      </c>
    </row>
    <row r="55" spans="1:11" ht="15" customHeight="1" x14ac:dyDescent="0.25">
      <c r="A55" s="21">
        <v>42011</v>
      </c>
      <c r="B55" s="22" t="s">
        <v>254</v>
      </c>
      <c r="C55" s="22" t="s">
        <v>255</v>
      </c>
      <c r="D55" s="22" t="s">
        <v>245</v>
      </c>
      <c r="E55" s="22" t="s">
        <v>246</v>
      </c>
      <c r="F55" s="23">
        <v>3</v>
      </c>
      <c r="G55" s="24">
        <v>1083</v>
      </c>
      <c r="H55" s="24">
        <v>1701</v>
      </c>
      <c r="I55" s="24">
        <v>3249</v>
      </c>
      <c r="J55" s="24">
        <v>4899</v>
      </c>
      <c r="K55" s="25">
        <f t="shared" si="0"/>
        <v>1650</v>
      </c>
    </row>
    <row r="56" spans="1:11" ht="15" customHeight="1" x14ac:dyDescent="0.25">
      <c r="A56" s="26">
        <v>42011</v>
      </c>
      <c r="B56" s="27" t="s">
        <v>243</v>
      </c>
      <c r="C56" s="27" t="s">
        <v>244</v>
      </c>
      <c r="D56" s="27" t="s">
        <v>245</v>
      </c>
      <c r="E56" s="27" t="s">
        <v>246</v>
      </c>
      <c r="F56" s="28">
        <v>1</v>
      </c>
      <c r="G56" s="29">
        <v>1519</v>
      </c>
      <c r="H56" s="29">
        <v>2443</v>
      </c>
      <c r="I56" s="29">
        <v>1519</v>
      </c>
      <c r="J56" s="29">
        <v>1906</v>
      </c>
      <c r="K56" s="30">
        <f t="shared" si="0"/>
        <v>387</v>
      </c>
    </row>
    <row r="57" spans="1:11" ht="15" customHeight="1" x14ac:dyDescent="0.25">
      <c r="A57" s="21">
        <v>42011</v>
      </c>
      <c r="B57" s="22" t="s">
        <v>247</v>
      </c>
      <c r="C57" s="22" t="s">
        <v>248</v>
      </c>
      <c r="D57" s="22" t="s">
        <v>245</v>
      </c>
      <c r="E57" s="22" t="s">
        <v>246</v>
      </c>
      <c r="F57" s="23">
        <v>1</v>
      </c>
      <c r="G57" s="24">
        <v>1083</v>
      </c>
      <c r="H57" s="24">
        <v>1701</v>
      </c>
      <c r="I57" s="24">
        <v>1083</v>
      </c>
      <c r="J57" s="24">
        <v>1395</v>
      </c>
      <c r="K57" s="25">
        <f t="shared" si="0"/>
        <v>312</v>
      </c>
    </row>
    <row r="58" spans="1:11" ht="15" customHeight="1" x14ac:dyDescent="0.25">
      <c r="A58" s="26">
        <v>42012</v>
      </c>
      <c r="B58" s="27" t="s">
        <v>250</v>
      </c>
      <c r="C58" s="27" t="s">
        <v>251</v>
      </c>
      <c r="D58" s="27" t="s">
        <v>245</v>
      </c>
      <c r="E58" s="27" t="s">
        <v>249</v>
      </c>
      <c r="F58" s="28">
        <v>1</v>
      </c>
      <c r="G58" s="29">
        <v>1252</v>
      </c>
      <c r="H58" s="29">
        <v>2295</v>
      </c>
      <c r="I58" s="29">
        <v>1252</v>
      </c>
      <c r="J58" s="29">
        <v>1997</v>
      </c>
      <c r="K58" s="30">
        <f t="shared" si="0"/>
        <v>745</v>
      </c>
    </row>
    <row r="59" spans="1:11" ht="15" customHeight="1" x14ac:dyDescent="0.25">
      <c r="A59" s="21">
        <v>42012</v>
      </c>
      <c r="B59" s="22" t="s">
        <v>250</v>
      </c>
      <c r="C59" s="22" t="s">
        <v>251</v>
      </c>
      <c r="D59" s="22" t="s">
        <v>245</v>
      </c>
      <c r="E59" s="22" t="s">
        <v>249</v>
      </c>
      <c r="F59" s="23">
        <v>1</v>
      </c>
      <c r="G59" s="24">
        <v>1252</v>
      </c>
      <c r="H59" s="24">
        <v>2295</v>
      </c>
      <c r="I59" s="24">
        <v>1252</v>
      </c>
      <c r="J59" s="24">
        <v>1997</v>
      </c>
      <c r="K59" s="25">
        <f t="shared" si="0"/>
        <v>745</v>
      </c>
    </row>
    <row r="60" spans="1:11" ht="15" customHeight="1" x14ac:dyDescent="0.25">
      <c r="A60" s="26">
        <v>42012</v>
      </c>
      <c r="B60" s="27" t="s">
        <v>250</v>
      </c>
      <c r="C60" s="27" t="s">
        <v>251</v>
      </c>
      <c r="D60" s="27" t="s">
        <v>245</v>
      </c>
      <c r="E60" s="27" t="s">
        <v>246</v>
      </c>
      <c r="F60" s="28">
        <v>3</v>
      </c>
      <c r="G60" s="29">
        <v>1083</v>
      </c>
      <c r="H60" s="29">
        <v>1701</v>
      </c>
      <c r="I60" s="29">
        <v>3249</v>
      </c>
      <c r="J60" s="29">
        <v>4031</v>
      </c>
      <c r="K60" s="30">
        <f t="shared" si="0"/>
        <v>782</v>
      </c>
    </row>
    <row r="61" spans="1:11" ht="15" customHeight="1" x14ac:dyDescent="0.25">
      <c r="A61" s="21">
        <v>42012</v>
      </c>
      <c r="B61" s="22" t="s">
        <v>243</v>
      </c>
      <c r="C61" s="22" t="s">
        <v>244</v>
      </c>
      <c r="D61" s="22" t="s">
        <v>245</v>
      </c>
      <c r="E61" s="22" t="s">
        <v>249</v>
      </c>
      <c r="F61" s="23">
        <v>1</v>
      </c>
      <c r="G61" s="24">
        <v>1252</v>
      </c>
      <c r="H61" s="24">
        <v>2295</v>
      </c>
      <c r="I61" s="24">
        <v>1252</v>
      </c>
      <c r="J61" s="24">
        <v>1974</v>
      </c>
      <c r="K61" s="25">
        <f t="shared" si="0"/>
        <v>722</v>
      </c>
    </row>
    <row r="62" spans="1:11" ht="15" customHeight="1" x14ac:dyDescent="0.25">
      <c r="A62" s="26">
        <v>42012</v>
      </c>
      <c r="B62" s="27" t="s">
        <v>252</v>
      </c>
      <c r="C62" s="27" t="s">
        <v>253</v>
      </c>
      <c r="D62" s="27" t="s">
        <v>245</v>
      </c>
      <c r="E62" s="27" t="s">
        <v>249</v>
      </c>
      <c r="F62" s="28">
        <v>1</v>
      </c>
      <c r="G62" s="29">
        <v>1266</v>
      </c>
      <c r="H62" s="29">
        <v>2320</v>
      </c>
      <c r="I62" s="29">
        <v>1266</v>
      </c>
      <c r="J62" s="29">
        <v>2018</v>
      </c>
      <c r="K62" s="30">
        <f t="shared" si="0"/>
        <v>752</v>
      </c>
    </row>
    <row r="63" spans="1:11" ht="15" customHeight="1" x14ac:dyDescent="0.25">
      <c r="A63" s="21">
        <v>42012</v>
      </c>
      <c r="B63" s="22" t="s">
        <v>243</v>
      </c>
      <c r="C63" s="22" t="s">
        <v>244</v>
      </c>
      <c r="D63" s="22" t="s">
        <v>245</v>
      </c>
      <c r="E63" s="22" t="s">
        <v>246</v>
      </c>
      <c r="F63" s="23">
        <v>1</v>
      </c>
      <c r="G63" s="24">
        <v>487</v>
      </c>
      <c r="H63" s="24">
        <v>783</v>
      </c>
      <c r="I63" s="24">
        <v>487</v>
      </c>
      <c r="J63" s="24">
        <v>611</v>
      </c>
      <c r="K63" s="25">
        <f t="shared" si="0"/>
        <v>124</v>
      </c>
    </row>
    <row r="64" spans="1:11" ht="15" customHeight="1" x14ac:dyDescent="0.25">
      <c r="A64" s="26">
        <v>42012</v>
      </c>
      <c r="B64" s="27" t="s">
        <v>243</v>
      </c>
      <c r="C64" s="27" t="s">
        <v>244</v>
      </c>
      <c r="D64" s="27" t="s">
        <v>245</v>
      </c>
      <c r="E64" s="27" t="s">
        <v>246</v>
      </c>
      <c r="F64" s="28">
        <v>3</v>
      </c>
      <c r="G64" s="29">
        <v>487</v>
      </c>
      <c r="H64" s="29">
        <v>783</v>
      </c>
      <c r="I64" s="29">
        <v>1461</v>
      </c>
      <c r="J64" s="29">
        <v>2302</v>
      </c>
      <c r="K64" s="30">
        <f t="shared" si="0"/>
        <v>841</v>
      </c>
    </row>
    <row r="65" spans="1:11" ht="15" customHeight="1" x14ac:dyDescent="0.25">
      <c r="A65" s="21">
        <v>42012</v>
      </c>
      <c r="B65" s="22" t="s">
        <v>252</v>
      </c>
      <c r="C65" s="22" t="s">
        <v>253</v>
      </c>
      <c r="D65" s="22" t="s">
        <v>245</v>
      </c>
      <c r="E65" s="22" t="s">
        <v>249</v>
      </c>
      <c r="F65" s="23">
        <v>1</v>
      </c>
      <c r="G65" s="24">
        <v>420</v>
      </c>
      <c r="H65" s="24">
        <v>769</v>
      </c>
      <c r="I65" s="24">
        <v>420</v>
      </c>
      <c r="J65" s="24">
        <v>631</v>
      </c>
      <c r="K65" s="25">
        <f t="shared" si="0"/>
        <v>211</v>
      </c>
    </row>
    <row r="66" spans="1:11" ht="15" customHeight="1" x14ac:dyDescent="0.25">
      <c r="A66" s="26">
        <v>42012</v>
      </c>
      <c r="B66" s="27" t="s">
        <v>250</v>
      </c>
      <c r="C66" s="27" t="s">
        <v>251</v>
      </c>
      <c r="D66" s="27" t="s">
        <v>245</v>
      </c>
      <c r="E66" s="27" t="s">
        <v>249</v>
      </c>
      <c r="F66" s="28">
        <v>1</v>
      </c>
      <c r="G66" s="29">
        <v>1266</v>
      </c>
      <c r="H66" s="29">
        <v>2320</v>
      </c>
      <c r="I66" s="29">
        <v>1266</v>
      </c>
      <c r="J66" s="29">
        <v>1833</v>
      </c>
      <c r="K66" s="30">
        <f t="shared" si="0"/>
        <v>567</v>
      </c>
    </row>
    <row r="67" spans="1:11" ht="15" customHeight="1" x14ac:dyDescent="0.25">
      <c r="A67" s="21">
        <v>42012</v>
      </c>
      <c r="B67" s="22" t="s">
        <v>254</v>
      </c>
      <c r="C67" s="22" t="s">
        <v>255</v>
      </c>
      <c r="D67" s="22" t="s">
        <v>245</v>
      </c>
      <c r="E67" s="22" t="s">
        <v>246</v>
      </c>
      <c r="F67" s="23">
        <v>1</v>
      </c>
      <c r="G67" s="24">
        <v>2171</v>
      </c>
      <c r="H67" s="24">
        <v>3578</v>
      </c>
      <c r="I67" s="24">
        <v>2171</v>
      </c>
      <c r="J67" s="24">
        <v>3435</v>
      </c>
      <c r="K67" s="25">
        <f t="shared" si="0"/>
        <v>1264</v>
      </c>
    </row>
    <row r="68" spans="1:11" ht="15" customHeight="1" x14ac:dyDescent="0.25">
      <c r="A68" s="26">
        <v>42013</v>
      </c>
      <c r="B68" s="27" t="s">
        <v>252</v>
      </c>
      <c r="C68" s="27" t="s">
        <v>253</v>
      </c>
      <c r="D68" s="27" t="s">
        <v>245</v>
      </c>
      <c r="E68" s="27" t="s">
        <v>246</v>
      </c>
      <c r="F68" s="28">
        <v>1</v>
      </c>
      <c r="G68" s="29">
        <v>1555</v>
      </c>
      <c r="H68" s="29">
        <v>2443</v>
      </c>
      <c r="I68" s="29">
        <v>1555</v>
      </c>
      <c r="J68" s="29">
        <v>2125</v>
      </c>
      <c r="K68" s="30">
        <f t="shared" si="0"/>
        <v>570</v>
      </c>
    </row>
    <row r="69" spans="1:11" ht="15" customHeight="1" x14ac:dyDescent="0.25">
      <c r="A69" s="21">
        <v>42013</v>
      </c>
      <c r="B69" s="22" t="s">
        <v>243</v>
      </c>
      <c r="C69" s="22" t="s">
        <v>244</v>
      </c>
      <c r="D69" s="22" t="s">
        <v>245</v>
      </c>
      <c r="E69" s="22" t="s">
        <v>246</v>
      </c>
      <c r="F69" s="23">
        <v>2</v>
      </c>
      <c r="G69" s="24">
        <v>713</v>
      </c>
      <c r="H69" s="24">
        <v>1120</v>
      </c>
      <c r="I69" s="24">
        <v>1426</v>
      </c>
      <c r="J69" s="24">
        <v>1926</v>
      </c>
      <c r="K69" s="25">
        <f t="shared" ref="K69:K132" si="1">J69-I69</f>
        <v>500</v>
      </c>
    </row>
    <row r="70" spans="1:11" ht="15" customHeight="1" x14ac:dyDescent="0.25">
      <c r="A70" s="26">
        <v>42013</v>
      </c>
      <c r="B70" s="27" t="s">
        <v>250</v>
      </c>
      <c r="C70" s="27" t="s">
        <v>251</v>
      </c>
      <c r="D70" s="27" t="s">
        <v>245</v>
      </c>
      <c r="E70" s="27" t="s">
        <v>249</v>
      </c>
      <c r="F70" s="28">
        <v>1</v>
      </c>
      <c r="G70" s="29">
        <v>420</v>
      </c>
      <c r="H70" s="29">
        <v>769</v>
      </c>
      <c r="I70" s="29">
        <v>420</v>
      </c>
      <c r="J70" s="29">
        <v>669</v>
      </c>
      <c r="K70" s="30">
        <f t="shared" si="1"/>
        <v>249</v>
      </c>
    </row>
    <row r="71" spans="1:11" ht="15" customHeight="1" x14ac:dyDescent="0.25">
      <c r="A71" s="21">
        <v>42013</v>
      </c>
      <c r="B71" s="22" t="s">
        <v>243</v>
      </c>
      <c r="C71" s="22" t="s">
        <v>244</v>
      </c>
      <c r="D71" s="22" t="s">
        <v>245</v>
      </c>
      <c r="E71" s="22" t="s">
        <v>249</v>
      </c>
      <c r="F71" s="23">
        <v>1</v>
      </c>
      <c r="G71" s="24">
        <v>1266</v>
      </c>
      <c r="H71" s="24">
        <v>2320</v>
      </c>
      <c r="I71" s="24">
        <v>1266</v>
      </c>
      <c r="J71" s="24">
        <v>2274</v>
      </c>
      <c r="K71" s="25">
        <f t="shared" si="1"/>
        <v>1008</v>
      </c>
    </row>
    <row r="72" spans="1:11" ht="15" customHeight="1" x14ac:dyDescent="0.25">
      <c r="A72" s="26">
        <v>42013</v>
      </c>
      <c r="B72" s="27" t="s">
        <v>250</v>
      </c>
      <c r="C72" s="27" t="s">
        <v>251</v>
      </c>
      <c r="D72" s="27" t="s">
        <v>245</v>
      </c>
      <c r="E72" s="27" t="s">
        <v>246</v>
      </c>
      <c r="F72" s="28">
        <v>1</v>
      </c>
      <c r="G72" s="29">
        <v>713</v>
      </c>
      <c r="H72" s="29">
        <v>1120</v>
      </c>
      <c r="I72" s="29">
        <v>713</v>
      </c>
      <c r="J72" s="29">
        <v>907</v>
      </c>
      <c r="K72" s="30">
        <f t="shared" si="1"/>
        <v>194</v>
      </c>
    </row>
    <row r="73" spans="1:11" ht="15" customHeight="1" x14ac:dyDescent="0.25">
      <c r="A73" s="21">
        <v>42013</v>
      </c>
      <c r="B73" s="22" t="s">
        <v>250</v>
      </c>
      <c r="C73" s="22" t="s">
        <v>251</v>
      </c>
      <c r="D73" s="22" t="s">
        <v>245</v>
      </c>
      <c r="E73" s="22" t="s">
        <v>249</v>
      </c>
      <c r="F73" s="23">
        <v>1</v>
      </c>
      <c r="G73" s="24">
        <v>1266</v>
      </c>
      <c r="H73" s="24">
        <v>2320</v>
      </c>
      <c r="I73" s="24">
        <v>1266</v>
      </c>
      <c r="J73" s="24">
        <v>1949</v>
      </c>
      <c r="K73" s="25">
        <f t="shared" si="1"/>
        <v>683</v>
      </c>
    </row>
    <row r="74" spans="1:11" ht="15" customHeight="1" x14ac:dyDescent="0.25">
      <c r="A74" s="26">
        <v>42013</v>
      </c>
      <c r="B74" s="27" t="s">
        <v>247</v>
      </c>
      <c r="C74" s="27" t="s">
        <v>248</v>
      </c>
      <c r="D74" s="27" t="s">
        <v>245</v>
      </c>
      <c r="E74" s="27" t="s">
        <v>246</v>
      </c>
      <c r="F74" s="28">
        <v>1</v>
      </c>
      <c r="G74" s="29">
        <v>1519</v>
      </c>
      <c r="H74" s="29">
        <v>2443</v>
      </c>
      <c r="I74" s="29">
        <v>1519</v>
      </c>
      <c r="J74" s="29">
        <v>2272</v>
      </c>
      <c r="K74" s="30">
        <f t="shared" si="1"/>
        <v>753</v>
      </c>
    </row>
    <row r="75" spans="1:11" ht="15" customHeight="1" x14ac:dyDescent="0.25">
      <c r="A75" s="21">
        <v>42013</v>
      </c>
      <c r="B75" s="22" t="s">
        <v>243</v>
      </c>
      <c r="C75" s="22" t="s">
        <v>244</v>
      </c>
      <c r="D75" s="22" t="s">
        <v>245</v>
      </c>
      <c r="E75" s="22" t="s">
        <v>249</v>
      </c>
      <c r="F75" s="23">
        <v>3</v>
      </c>
      <c r="G75" s="24">
        <v>420</v>
      </c>
      <c r="H75" s="24">
        <v>769</v>
      </c>
      <c r="I75" s="24">
        <v>1260</v>
      </c>
      <c r="J75" s="24">
        <v>2261</v>
      </c>
      <c r="K75" s="25">
        <f t="shared" si="1"/>
        <v>1001</v>
      </c>
    </row>
    <row r="76" spans="1:11" ht="15" customHeight="1" x14ac:dyDescent="0.25">
      <c r="A76" s="26">
        <v>42013</v>
      </c>
      <c r="B76" s="27" t="s">
        <v>243</v>
      </c>
      <c r="C76" s="27" t="s">
        <v>244</v>
      </c>
      <c r="D76" s="27" t="s">
        <v>245</v>
      </c>
      <c r="E76" s="27" t="s">
        <v>249</v>
      </c>
      <c r="F76" s="28">
        <v>1</v>
      </c>
      <c r="G76" s="29">
        <v>1266</v>
      </c>
      <c r="H76" s="29">
        <v>2320</v>
      </c>
      <c r="I76" s="29">
        <v>1266</v>
      </c>
      <c r="J76" s="29">
        <v>2274</v>
      </c>
      <c r="K76" s="30">
        <f t="shared" si="1"/>
        <v>1008</v>
      </c>
    </row>
    <row r="77" spans="1:11" ht="15" customHeight="1" x14ac:dyDescent="0.25">
      <c r="A77" s="21">
        <v>42014</v>
      </c>
      <c r="B77" s="22" t="s">
        <v>243</v>
      </c>
      <c r="C77" s="22" t="s">
        <v>244</v>
      </c>
      <c r="D77" s="22" t="s">
        <v>245</v>
      </c>
      <c r="E77" s="22" t="s">
        <v>246</v>
      </c>
      <c r="F77" s="23">
        <v>1</v>
      </c>
      <c r="G77" s="24">
        <v>2171</v>
      </c>
      <c r="H77" s="24">
        <v>3578</v>
      </c>
      <c r="I77" s="24">
        <v>2171</v>
      </c>
      <c r="J77" s="24">
        <v>3506</v>
      </c>
      <c r="K77" s="25">
        <f t="shared" si="1"/>
        <v>1335</v>
      </c>
    </row>
    <row r="78" spans="1:11" ht="15" customHeight="1" x14ac:dyDescent="0.25">
      <c r="A78" s="26">
        <v>42014</v>
      </c>
      <c r="B78" s="27" t="s">
        <v>250</v>
      </c>
      <c r="C78" s="27" t="s">
        <v>251</v>
      </c>
      <c r="D78" s="27" t="s">
        <v>245</v>
      </c>
      <c r="E78" s="27" t="s">
        <v>246</v>
      </c>
      <c r="F78" s="28">
        <v>1</v>
      </c>
      <c r="G78" s="29">
        <v>1083</v>
      </c>
      <c r="H78" s="29">
        <v>1701</v>
      </c>
      <c r="I78" s="29">
        <v>1083</v>
      </c>
      <c r="J78" s="29">
        <v>1344</v>
      </c>
      <c r="K78" s="30">
        <f t="shared" si="1"/>
        <v>261</v>
      </c>
    </row>
    <row r="79" spans="1:11" ht="15" customHeight="1" x14ac:dyDescent="0.25">
      <c r="A79" s="21">
        <v>42014</v>
      </c>
      <c r="B79" s="22" t="s">
        <v>252</v>
      </c>
      <c r="C79" s="22" t="s">
        <v>253</v>
      </c>
      <c r="D79" s="22" t="s">
        <v>245</v>
      </c>
      <c r="E79" s="22" t="s">
        <v>246</v>
      </c>
      <c r="F79" s="23">
        <v>1</v>
      </c>
      <c r="G79" s="24">
        <v>1083</v>
      </c>
      <c r="H79" s="24">
        <v>1701</v>
      </c>
      <c r="I79" s="24">
        <v>1083</v>
      </c>
      <c r="J79" s="24">
        <v>1633</v>
      </c>
      <c r="K79" s="25">
        <f t="shared" si="1"/>
        <v>550</v>
      </c>
    </row>
    <row r="80" spans="1:11" ht="15" customHeight="1" x14ac:dyDescent="0.25">
      <c r="A80" s="26">
        <v>42014</v>
      </c>
      <c r="B80" s="27" t="s">
        <v>256</v>
      </c>
      <c r="C80" s="27" t="s">
        <v>257</v>
      </c>
      <c r="D80" s="27" t="s">
        <v>245</v>
      </c>
      <c r="E80" s="27" t="s">
        <v>249</v>
      </c>
      <c r="F80" s="28">
        <v>1</v>
      </c>
      <c r="G80" s="29">
        <v>308</v>
      </c>
      <c r="H80" s="29">
        <v>565</v>
      </c>
      <c r="I80" s="29">
        <v>308</v>
      </c>
      <c r="J80" s="29">
        <v>559</v>
      </c>
      <c r="K80" s="30">
        <f t="shared" si="1"/>
        <v>251</v>
      </c>
    </row>
    <row r="81" spans="1:11" ht="15" customHeight="1" x14ac:dyDescent="0.25">
      <c r="A81" s="21">
        <v>42014</v>
      </c>
      <c r="B81" s="22" t="s">
        <v>252</v>
      </c>
      <c r="C81" s="22" t="s">
        <v>253</v>
      </c>
      <c r="D81" s="22" t="s">
        <v>245</v>
      </c>
      <c r="E81" s="22" t="s">
        <v>246</v>
      </c>
      <c r="F81" s="23">
        <v>2</v>
      </c>
      <c r="G81" s="24">
        <v>344</v>
      </c>
      <c r="H81" s="24">
        <v>540</v>
      </c>
      <c r="I81" s="24">
        <v>688</v>
      </c>
      <c r="J81" s="24">
        <v>1037</v>
      </c>
      <c r="K81" s="25">
        <f t="shared" si="1"/>
        <v>349</v>
      </c>
    </row>
    <row r="82" spans="1:11" ht="15" customHeight="1" x14ac:dyDescent="0.25">
      <c r="A82" s="26">
        <v>42014</v>
      </c>
      <c r="B82" s="27" t="s">
        <v>250</v>
      </c>
      <c r="C82" s="27" t="s">
        <v>251</v>
      </c>
      <c r="D82" s="27" t="s">
        <v>245</v>
      </c>
      <c r="E82" s="27" t="s">
        <v>246</v>
      </c>
      <c r="F82" s="28">
        <v>1</v>
      </c>
      <c r="G82" s="29">
        <v>713</v>
      </c>
      <c r="H82" s="29">
        <v>1120</v>
      </c>
      <c r="I82" s="29">
        <v>713</v>
      </c>
      <c r="J82" s="29">
        <v>907</v>
      </c>
      <c r="K82" s="30">
        <f t="shared" si="1"/>
        <v>194</v>
      </c>
    </row>
    <row r="83" spans="1:11" ht="15" customHeight="1" x14ac:dyDescent="0.25">
      <c r="A83" s="21">
        <v>42014</v>
      </c>
      <c r="B83" s="22" t="s">
        <v>243</v>
      </c>
      <c r="C83" s="22" t="s">
        <v>244</v>
      </c>
      <c r="D83" s="22" t="s">
        <v>245</v>
      </c>
      <c r="E83" s="22" t="s">
        <v>246</v>
      </c>
      <c r="F83" s="23">
        <v>1</v>
      </c>
      <c r="G83" s="24">
        <v>2171</v>
      </c>
      <c r="H83" s="24">
        <v>3578</v>
      </c>
      <c r="I83" s="24">
        <v>2171</v>
      </c>
      <c r="J83" s="24">
        <v>2791</v>
      </c>
      <c r="K83" s="25">
        <f t="shared" si="1"/>
        <v>620</v>
      </c>
    </row>
    <row r="84" spans="1:11" ht="15" customHeight="1" x14ac:dyDescent="0.25">
      <c r="A84" s="26">
        <v>42014</v>
      </c>
      <c r="B84" s="27" t="s">
        <v>250</v>
      </c>
      <c r="C84" s="27" t="s">
        <v>251</v>
      </c>
      <c r="D84" s="27" t="s">
        <v>245</v>
      </c>
      <c r="E84" s="27" t="s">
        <v>246</v>
      </c>
      <c r="F84" s="28">
        <v>1</v>
      </c>
      <c r="G84" s="29">
        <v>1083</v>
      </c>
      <c r="H84" s="29">
        <v>1701</v>
      </c>
      <c r="I84" s="29">
        <v>1083</v>
      </c>
      <c r="J84" s="29">
        <v>1429</v>
      </c>
      <c r="K84" s="30">
        <f t="shared" si="1"/>
        <v>346</v>
      </c>
    </row>
    <row r="85" spans="1:11" ht="15" customHeight="1" x14ac:dyDescent="0.25">
      <c r="A85" s="21">
        <v>42014</v>
      </c>
      <c r="B85" s="22" t="s">
        <v>250</v>
      </c>
      <c r="C85" s="22" t="s">
        <v>251</v>
      </c>
      <c r="D85" s="22" t="s">
        <v>245</v>
      </c>
      <c r="E85" s="22" t="s">
        <v>246</v>
      </c>
      <c r="F85" s="23">
        <v>2</v>
      </c>
      <c r="G85" s="24">
        <v>344</v>
      </c>
      <c r="H85" s="24">
        <v>540</v>
      </c>
      <c r="I85" s="24">
        <v>688</v>
      </c>
      <c r="J85" s="24">
        <v>853</v>
      </c>
      <c r="K85" s="25">
        <f t="shared" si="1"/>
        <v>165</v>
      </c>
    </row>
    <row r="86" spans="1:11" ht="15" customHeight="1" x14ac:dyDescent="0.25">
      <c r="A86" s="26">
        <v>42014</v>
      </c>
      <c r="B86" s="27" t="s">
        <v>250</v>
      </c>
      <c r="C86" s="27" t="s">
        <v>251</v>
      </c>
      <c r="D86" s="27" t="s">
        <v>245</v>
      </c>
      <c r="E86" s="27" t="s">
        <v>249</v>
      </c>
      <c r="F86" s="28">
        <v>1</v>
      </c>
      <c r="G86" s="29">
        <v>1252</v>
      </c>
      <c r="H86" s="29">
        <v>2295</v>
      </c>
      <c r="I86" s="29">
        <v>1252</v>
      </c>
      <c r="J86" s="29">
        <v>1928</v>
      </c>
      <c r="K86" s="30">
        <f t="shared" si="1"/>
        <v>676</v>
      </c>
    </row>
    <row r="87" spans="1:11" ht="15" customHeight="1" x14ac:dyDescent="0.25">
      <c r="A87" s="21">
        <v>42014</v>
      </c>
      <c r="B87" s="22" t="s">
        <v>250</v>
      </c>
      <c r="C87" s="22" t="s">
        <v>251</v>
      </c>
      <c r="D87" s="22" t="s">
        <v>245</v>
      </c>
      <c r="E87" s="22" t="s">
        <v>246</v>
      </c>
      <c r="F87" s="23">
        <v>1</v>
      </c>
      <c r="G87" s="24">
        <v>1083</v>
      </c>
      <c r="H87" s="24">
        <v>1701</v>
      </c>
      <c r="I87" s="24">
        <v>1083</v>
      </c>
      <c r="J87" s="24">
        <v>1395</v>
      </c>
      <c r="K87" s="25">
        <f t="shared" si="1"/>
        <v>312</v>
      </c>
    </row>
    <row r="88" spans="1:11" ht="15" customHeight="1" x14ac:dyDescent="0.25">
      <c r="A88" s="26">
        <v>42015</v>
      </c>
      <c r="B88" s="27" t="s">
        <v>243</v>
      </c>
      <c r="C88" s="27" t="s">
        <v>244</v>
      </c>
      <c r="D88" s="27" t="s">
        <v>245</v>
      </c>
      <c r="E88" s="27" t="s">
        <v>249</v>
      </c>
      <c r="F88" s="28">
        <v>1</v>
      </c>
      <c r="G88" s="29">
        <v>1266</v>
      </c>
      <c r="H88" s="29">
        <v>2320</v>
      </c>
      <c r="I88" s="29">
        <v>1266</v>
      </c>
      <c r="J88" s="29">
        <v>2274</v>
      </c>
      <c r="K88" s="30">
        <f t="shared" si="1"/>
        <v>1008</v>
      </c>
    </row>
    <row r="89" spans="1:11" ht="15" customHeight="1" x14ac:dyDescent="0.25">
      <c r="A89" s="21">
        <v>42015</v>
      </c>
      <c r="B89" s="22" t="s">
        <v>250</v>
      </c>
      <c r="C89" s="22" t="s">
        <v>251</v>
      </c>
      <c r="D89" s="22" t="s">
        <v>245</v>
      </c>
      <c r="E89" s="22" t="s">
        <v>246</v>
      </c>
      <c r="F89" s="23">
        <v>1</v>
      </c>
      <c r="G89" s="24">
        <v>2171</v>
      </c>
      <c r="H89" s="24">
        <v>3578</v>
      </c>
      <c r="I89" s="24">
        <v>2171</v>
      </c>
      <c r="J89" s="24">
        <v>3113</v>
      </c>
      <c r="K89" s="25">
        <f t="shared" si="1"/>
        <v>942</v>
      </c>
    </row>
    <row r="90" spans="1:11" ht="15" customHeight="1" x14ac:dyDescent="0.25">
      <c r="A90" s="26">
        <v>42015</v>
      </c>
      <c r="B90" s="27" t="s">
        <v>250</v>
      </c>
      <c r="C90" s="27" t="s">
        <v>251</v>
      </c>
      <c r="D90" s="27" t="s">
        <v>245</v>
      </c>
      <c r="E90" s="27" t="s">
        <v>246</v>
      </c>
      <c r="F90" s="28">
        <v>1</v>
      </c>
      <c r="G90" s="29">
        <v>344</v>
      </c>
      <c r="H90" s="29">
        <v>540</v>
      </c>
      <c r="I90" s="29">
        <v>344</v>
      </c>
      <c r="J90" s="29">
        <v>427</v>
      </c>
      <c r="K90" s="30">
        <f t="shared" si="1"/>
        <v>83</v>
      </c>
    </row>
    <row r="91" spans="1:11" ht="15" customHeight="1" x14ac:dyDescent="0.25">
      <c r="A91" s="21">
        <v>42015</v>
      </c>
      <c r="B91" s="22" t="s">
        <v>243</v>
      </c>
      <c r="C91" s="22" t="s">
        <v>244</v>
      </c>
      <c r="D91" s="22" t="s">
        <v>245</v>
      </c>
      <c r="E91" s="22" t="s">
        <v>246</v>
      </c>
      <c r="F91" s="23">
        <v>1</v>
      </c>
      <c r="G91" s="24">
        <v>1555</v>
      </c>
      <c r="H91" s="24">
        <v>2443</v>
      </c>
      <c r="I91" s="24">
        <v>1555</v>
      </c>
      <c r="J91" s="24">
        <v>2394</v>
      </c>
      <c r="K91" s="25">
        <f t="shared" si="1"/>
        <v>839</v>
      </c>
    </row>
    <row r="92" spans="1:11" ht="15" customHeight="1" x14ac:dyDescent="0.25">
      <c r="A92" s="26">
        <v>42015</v>
      </c>
      <c r="B92" s="27" t="s">
        <v>250</v>
      </c>
      <c r="C92" s="27" t="s">
        <v>251</v>
      </c>
      <c r="D92" s="27" t="s">
        <v>245</v>
      </c>
      <c r="E92" s="27" t="s">
        <v>249</v>
      </c>
      <c r="F92" s="28">
        <v>3</v>
      </c>
      <c r="G92" s="29">
        <v>308</v>
      </c>
      <c r="H92" s="29">
        <v>565</v>
      </c>
      <c r="I92" s="29">
        <v>924</v>
      </c>
      <c r="J92" s="29">
        <v>1475</v>
      </c>
      <c r="K92" s="30">
        <f t="shared" si="1"/>
        <v>551</v>
      </c>
    </row>
    <row r="93" spans="1:11" ht="15" customHeight="1" x14ac:dyDescent="0.25">
      <c r="A93" s="21">
        <v>42015</v>
      </c>
      <c r="B93" s="22" t="s">
        <v>254</v>
      </c>
      <c r="C93" s="22" t="s">
        <v>255</v>
      </c>
      <c r="D93" s="22" t="s">
        <v>245</v>
      </c>
      <c r="E93" s="22" t="s">
        <v>249</v>
      </c>
      <c r="F93" s="23">
        <v>1</v>
      </c>
      <c r="G93" s="24">
        <v>1266</v>
      </c>
      <c r="H93" s="24">
        <v>2320</v>
      </c>
      <c r="I93" s="24">
        <v>1266</v>
      </c>
      <c r="J93" s="24">
        <v>2227</v>
      </c>
      <c r="K93" s="25">
        <f t="shared" si="1"/>
        <v>961</v>
      </c>
    </row>
    <row r="94" spans="1:11" ht="15" customHeight="1" x14ac:dyDescent="0.25">
      <c r="A94" s="26">
        <v>42015</v>
      </c>
      <c r="B94" s="27" t="s">
        <v>254</v>
      </c>
      <c r="C94" s="27" t="s">
        <v>255</v>
      </c>
      <c r="D94" s="27" t="s">
        <v>245</v>
      </c>
      <c r="E94" s="27" t="s">
        <v>246</v>
      </c>
      <c r="F94" s="28">
        <v>2</v>
      </c>
      <c r="G94" s="29">
        <v>1519</v>
      </c>
      <c r="H94" s="29">
        <v>2443</v>
      </c>
      <c r="I94" s="29">
        <v>3038</v>
      </c>
      <c r="J94" s="29">
        <v>4691</v>
      </c>
      <c r="K94" s="30">
        <f t="shared" si="1"/>
        <v>1653</v>
      </c>
    </row>
    <row r="95" spans="1:11" ht="15" customHeight="1" x14ac:dyDescent="0.25">
      <c r="A95" s="21">
        <v>42016</v>
      </c>
      <c r="B95" s="22" t="s">
        <v>243</v>
      </c>
      <c r="C95" s="22" t="s">
        <v>244</v>
      </c>
      <c r="D95" s="22" t="s">
        <v>245</v>
      </c>
      <c r="E95" s="22" t="s">
        <v>249</v>
      </c>
      <c r="F95" s="23">
        <v>3</v>
      </c>
      <c r="G95" s="24">
        <v>1252</v>
      </c>
      <c r="H95" s="24">
        <v>2295</v>
      </c>
      <c r="I95" s="24">
        <v>3756</v>
      </c>
      <c r="J95" s="24">
        <v>6747</v>
      </c>
      <c r="K95" s="25">
        <f t="shared" si="1"/>
        <v>2991</v>
      </c>
    </row>
    <row r="96" spans="1:11" ht="15" customHeight="1" x14ac:dyDescent="0.25">
      <c r="A96" s="26">
        <v>42016</v>
      </c>
      <c r="B96" s="27" t="s">
        <v>243</v>
      </c>
      <c r="C96" s="27" t="s">
        <v>244</v>
      </c>
      <c r="D96" s="27" t="s">
        <v>245</v>
      </c>
      <c r="E96" s="27" t="s">
        <v>249</v>
      </c>
      <c r="F96" s="28">
        <v>1</v>
      </c>
      <c r="G96" s="29">
        <v>1266</v>
      </c>
      <c r="H96" s="29">
        <v>2320</v>
      </c>
      <c r="I96" s="29">
        <v>1266</v>
      </c>
      <c r="J96" s="29">
        <v>2274</v>
      </c>
      <c r="K96" s="30">
        <f t="shared" si="1"/>
        <v>1008</v>
      </c>
    </row>
    <row r="97" spans="1:11" ht="15" customHeight="1" x14ac:dyDescent="0.25">
      <c r="A97" s="21">
        <v>42016</v>
      </c>
      <c r="B97" s="22" t="s">
        <v>243</v>
      </c>
      <c r="C97" s="22" t="s">
        <v>244</v>
      </c>
      <c r="D97" s="22" t="s">
        <v>245</v>
      </c>
      <c r="E97" s="22" t="s">
        <v>246</v>
      </c>
      <c r="F97" s="23">
        <v>1</v>
      </c>
      <c r="G97" s="24">
        <v>2171</v>
      </c>
      <c r="H97" s="24">
        <v>3578</v>
      </c>
      <c r="I97" s="24">
        <v>2171</v>
      </c>
      <c r="J97" s="24">
        <v>3506</v>
      </c>
      <c r="K97" s="25">
        <f t="shared" si="1"/>
        <v>1335</v>
      </c>
    </row>
    <row r="98" spans="1:11" ht="15" customHeight="1" x14ac:dyDescent="0.25">
      <c r="A98" s="26">
        <v>42016</v>
      </c>
      <c r="B98" s="27" t="s">
        <v>250</v>
      </c>
      <c r="C98" s="27" t="s">
        <v>251</v>
      </c>
      <c r="D98" s="27" t="s">
        <v>245</v>
      </c>
      <c r="E98" s="27" t="s">
        <v>249</v>
      </c>
      <c r="F98" s="28">
        <v>1</v>
      </c>
      <c r="G98" s="29">
        <v>1266</v>
      </c>
      <c r="H98" s="29">
        <v>2320</v>
      </c>
      <c r="I98" s="29">
        <v>1266</v>
      </c>
      <c r="J98" s="29">
        <v>1833</v>
      </c>
      <c r="K98" s="30">
        <f t="shared" si="1"/>
        <v>567</v>
      </c>
    </row>
    <row r="99" spans="1:11" ht="15" customHeight="1" x14ac:dyDescent="0.25">
      <c r="A99" s="21">
        <v>42016</v>
      </c>
      <c r="B99" s="22" t="s">
        <v>254</v>
      </c>
      <c r="C99" s="22" t="s">
        <v>255</v>
      </c>
      <c r="D99" s="22" t="s">
        <v>245</v>
      </c>
      <c r="E99" s="22" t="s">
        <v>246</v>
      </c>
      <c r="F99" s="23">
        <v>3</v>
      </c>
      <c r="G99" s="24">
        <v>1083</v>
      </c>
      <c r="H99" s="24">
        <v>1701</v>
      </c>
      <c r="I99" s="24">
        <v>3249</v>
      </c>
      <c r="J99" s="24">
        <v>4899</v>
      </c>
      <c r="K99" s="25">
        <f t="shared" si="1"/>
        <v>1650</v>
      </c>
    </row>
    <row r="100" spans="1:11" ht="15" customHeight="1" x14ac:dyDescent="0.25">
      <c r="A100" s="26">
        <v>42016</v>
      </c>
      <c r="B100" s="27" t="s">
        <v>250</v>
      </c>
      <c r="C100" s="27" t="s">
        <v>251</v>
      </c>
      <c r="D100" s="27" t="s">
        <v>245</v>
      </c>
      <c r="E100" s="27" t="s">
        <v>249</v>
      </c>
      <c r="F100" s="28">
        <v>1</v>
      </c>
      <c r="G100" s="29">
        <v>420</v>
      </c>
      <c r="H100" s="29">
        <v>769</v>
      </c>
      <c r="I100" s="29">
        <v>420</v>
      </c>
      <c r="J100" s="29">
        <v>669</v>
      </c>
      <c r="K100" s="30">
        <f t="shared" si="1"/>
        <v>249</v>
      </c>
    </row>
    <row r="101" spans="1:11" ht="15" customHeight="1" x14ac:dyDescent="0.25">
      <c r="A101" s="21">
        <v>42016</v>
      </c>
      <c r="B101" s="22" t="s">
        <v>254</v>
      </c>
      <c r="C101" s="22" t="s">
        <v>255</v>
      </c>
      <c r="D101" s="22" t="s">
        <v>245</v>
      </c>
      <c r="E101" s="22" t="s">
        <v>249</v>
      </c>
      <c r="F101" s="23">
        <v>1</v>
      </c>
      <c r="G101" s="24">
        <v>420</v>
      </c>
      <c r="H101" s="24">
        <v>769</v>
      </c>
      <c r="I101" s="24">
        <v>420</v>
      </c>
      <c r="J101" s="24">
        <v>738</v>
      </c>
      <c r="K101" s="25">
        <f t="shared" si="1"/>
        <v>318</v>
      </c>
    </row>
    <row r="102" spans="1:11" ht="15" customHeight="1" x14ac:dyDescent="0.25">
      <c r="A102" s="26">
        <v>42017</v>
      </c>
      <c r="B102" s="27" t="s">
        <v>252</v>
      </c>
      <c r="C102" s="27" t="s">
        <v>253</v>
      </c>
      <c r="D102" s="27" t="s">
        <v>245</v>
      </c>
      <c r="E102" s="27" t="s">
        <v>246</v>
      </c>
      <c r="F102" s="28">
        <v>3</v>
      </c>
      <c r="G102" s="29">
        <v>1555</v>
      </c>
      <c r="H102" s="29">
        <v>2443</v>
      </c>
      <c r="I102" s="29">
        <v>4665</v>
      </c>
      <c r="J102" s="29">
        <v>6376</v>
      </c>
      <c r="K102" s="30">
        <f t="shared" si="1"/>
        <v>1711</v>
      </c>
    </row>
    <row r="103" spans="1:11" ht="15" customHeight="1" x14ac:dyDescent="0.25">
      <c r="A103" s="21">
        <v>42017</v>
      </c>
      <c r="B103" s="22" t="s">
        <v>250</v>
      </c>
      <c r="C103" s="22" t="s">
        <v>251</v>
      </c>
      <c r="D103" s="22" t="s">
        <v>245</v>
      </c>
      <c r="E103" s="22" t="s">
        <v>246</v>
      </c>
      <c r="F103" s="23">
        <v>1</v>
      </c>
      <c r="G103" s="24">
        <v>1555</v>
      </c>
      <c r="H103" s="24">
        <v>2443</v>
      </c>
      <c r="I103" s="24">
        <v>1555</v>
      </c>
      <c r="J103" s="24">
        <v>2125</v>
      </c>
      <c r="K103" s="25">
        <f t="shared" si="1"/>
        <v>570</v>
      </c>
    </row>
    <row r="104" spans="1:11" ht="15" customHeight="1" x14ac:dyDescent="0.25">
      <c r="A104" s="26">
        <v>42017</v>
      </c>
      <c r="B104" s="27" t="s">
        <v>254</v>
      </c>
      <c r="C104" s="27" t="s">
        <v>255</v>
      </c>
      <c r="D104" s="27" t="s">
        <v>245</v>
      </c>
      <c r="E104" s="27" t="s">
        <v>246</v>
      </c>
      <c r="F104" s="28">
        <v>1</v>
      </c>
      <c r="G104" s="29">
        <v>344</v>
      </c>
      <c r="H104" s="29">
        <v>540</v>
      </c>
      <c r="I104" s="29">
        <v>344</v>
      </c>
      <c r="J104" s="29">
        <v>518</v>
      </c>
      <c r="K104" s="30">
        <f t="shared" si="1"/>
        <v>174</v>
      </c>
    </row>
    <row r="105" spans="1:11" ht="15" customHeight="1" x14ac:dyDescent="0.25">
      <c r="A105" s="21">
        <v>42017</v>
      </c>
      <c r="B105" s="22" t="s">
        <v>254</v>
      </c>
      <c r="C105" s="22" t="s">
        <v>255</v>
      </c>
      <c r="D105" s="22" t="s">
        <v>245</v>
      </c>
      <c r="E105" s="22" t="s">
        <v>246</v>
      </c>
      <c r="F105" s="23">
        <v>2</v>
      </c>
      <c r="G105" s="24">
        <v>487</v>
      </c>
      <c r="H105" s="24">
        <v>783</v>
      </c>
      <c r="I105" s="24">
        <v>974</v>
      </c>
      <c r="J105" s="24">
        <v>1503</v>
      </c>
      <c r="K105" s="25">
        <f t="shared" si="1"/>
        <v>529</v>
      </c>
    </row>
    <row r="106" spans="1:11" ht="15" customHeight="1" x14ac:dyDescent="0.25">
      <c r="A106" s="26">
        <v>42017</v>
      </c>
      <c r="B106" s="27" t="s">
        <v>243</v>
      </c>
      <c r="C106" s="27" t="s">
        <v>244</v>
      </c>
      <c r="D106" s="27" t="s">
        <v>245</v>
      </c>
      <c r="E106" s="27" t="s">
        <v>246</v>
      </c>
      <c r="F106" s="28">
        <v>1</v>
      </c>
      <c r="G106" s="29">
        <v>2171</v>
      </c>
      <c r="H106" s="29">
        <v>3578</v>
      </c>
      <c r="I106" s="29">
        <v>2171</v>
      </c>
      <c r="J106" s="29">
        <v>3506</v>
      </c>
      <c r="K106" s="30">
        <f t="shared" si="1"/>
        <v>1335</v>
      </c>
    </row>
    <row r="107" spans="1:11" ht="15" customHeight="1" x14ac:dyDescent="0.25">
      <c r="A107" s="21">
        <v>42017</v>
      </c>
      <c r="B107" s="22" t="s">
        <v>247</v>
      </c>
      <c r="C107" s="22" t="s">
        <v>248</v>
      </c>
      <c r="D107" s="22" t="s">
        <v>245</v>
      </c>
      <c r="E107" s="22" t="s">
        <v>246</v>
      </c>
      <c r="F107" s="23">
        <v>1</v>
      </c>
      <c r="G107" s="24">
        <v>1555</v>
      </c>
      <c r="H107" s="24">
        <v>2443</v>
      </c>
      <c r="I107" s="24">
        <v>1555</v>
      </c>
      <c r="J107" s="24">
        <v>2272</v>
      </c>
      <c r="K107" s="25">
        <f t="shared" si="1"/>
        <v>717</v>
      </c>
    </row>
    <row r="108" spans="1:11" ht="15" customHeight="1" x14ac:dyDescent="0.25">
      <c r="A108" s="26">
        <v>42017</v>
      </c>
      <c r="B108" s="27" t="s">
        <v>254</v>
      </c>
      <c r="C108" s="27" t="s">
        <v>255</v>
      </c>
      <c r="D108" s="27" t="s">
        <v>245</v>
      </c>
      <c r="E108" s="27" t="s">
        <v>246</v>
      </c>
      <c r="F108" s="28">
        <v>2</v>
      </c>
      <c r="G108" s="29">
        <v>1555</v>
      </c>
      <c r="H108" s="29">
        <v>2443</v>
      </c>
      <c r="I108" s="29">
        <v>3110</v>
      </c>
      <c r="J108" s="29">
        <v>4691</v>
      </c>
      <c r="K108" s="30">
        <f t="shared" si="1"/>
        <v>1581</v>
      </c>
    </row>
    <row r="109" spans="1:11" ht="15" customHeight="1" x14ac:dyDescent="0.25">
      <c r="A109" s="21">
        <v>42017</v>
      </c>
      <c r="B109" s="22" t="s">
        <v>250</v>
      </c>
      <c r="C109" s="22" t="s">
        <v>251</v>
      </c>
      <c r="D109" s="22" t="s">
        <v>245</v>
      </c>
      <c r="E109" s="22" t="s">
        <v>249</v>
      </c>
      <c r="F109" s="23">
        <v>2</v>
      </c>
      <c r="G109" s="24">
        <v>420</v>
      </c>
      <c r="H109" s="24">
        <v>769</v>
      </c>
      <c r="I109" s="24">
        <v>840</v>
      </c>
      <c r="J109" s="24">
        <v>1338</v>
      </c>
      <c r="K109" s="25">
        <f t="shared" si="1"/>
        <v>498</v>
      </c>
    </row>
    <row r="110" spans="1:11" ht="15" customHeight="1" x14ac:dyDescent="0.25">
      <c r="A110" s="26">
        <v>42017</v>
      </c>
      <c r="B110" s="27" t="s">
        <v>250</v>
      </c>
      <c r="C110" s="27" t="s">
        <v>251</v>
      </c>
      <c r="D110" s="27" t="s">
        <v>245</v>
      </c>
      <c r="E110" s="27" t="s">
        <v>246</v>
      </c>
      <c r="F110" s="28">
        <v>1</v>
      </c>
      <c r="G110" s="29">
        <v>344</v>
      </c>
      <c r="H110" s="29">
        <v>540</v>
      </c>
      <c r="I110" s="29">
        <v>344</v>
      </c>
      <c r="J110" s="29">
        <v>470</v>
      </c>
      <c r="K110" s="30">
        <f t="shared" si="1"/>
        <v>126</v>
      </c>
    </row>
    <row r="111" spans="1:11" ht="15" customHeight="1" x14ac:dyDescent="0.25">
      <c r="A111" s="21">
        <v>42017</v>
      </c>
      <c r="B111" s="22" t="s">
        <v>250</v>
      </c>
      <c r="C111" s="22" t="s">
        <v>251</v>
      </c>
      <c r="D111" s="22" t="s">
        <v>245</v>
      </c>
      <c r="E111" s="22" t="s">
        <v>249</v>
      </c>
      <c r="F111" s="23">
        <v>2</v>
      </c>
      <c r="G111" s="24">
        <v>1266</v>
      </c>
      <c r="H111" s="24">
        <v>2320</v>
      </c>
      <c r="I111" s="24">
        <v>2532</v>
      </c>
      <c r="J111" s="24">
        <v>4037</v>
      </c>
      <c r="K111" s="25">
        <f t="shared" si="1"/>
        <v>1505</v>
      </c>
    </row>
    <row r="112" spans="1:11" ht="15" customHeight="1" x14ac:dyDescent="0.25">
      <c r="A112" s="26">
        <v>42017</v>
      </c>
      <c r="B112" s="27" t="s">
        <v>247</v>
      </c>
      <c r="C112" s="27" t="s">
        <v>248</v>
      </c>
      <c r="D112" s="27" t="s">
        <v>245</v>
      </c>
      <c r="E112" s="27" t="s">
        <v>246</v>
      </c>
      <c r="F112" s="28">
        <v>1</v>
      </c>
      <c r="G112" s="29">
        <v>487</v>
      </c>
      <c r="H112" s="29">
        <v>783</v>
      </c>
      <c r="I112" s="29">
        <v>487</v>
      </c>
      <c r="J112" s="29">
        <v>775</v>
      </c>
      <c r="K112" s="30">
        <f t="shared" si="1"/>
        <v>288</v>
      </c>
    </row>
    <row r="113" spans="1:11" ht="15" customHeight="1" x14ac:dyDescent="0.25">
      <c r="A113" s="21">
        <v>42017</v>
      </c>
      <c r="B113" s="22" t="s">
        <v>243</v>
      </c>
      <c r="C113" s="22" t="s">
        <v>244</v>
      </c>
      <c r="D113" s="22" t="s">
        <v>245</v>
      </c>
      <c r="E113" s="22" t="s">
        <v>249</v>
      </c>
      <c r="F113" s="23">
        <v>1</v>
      </c>
      <c r="G113" s="24">
        <v>1266</v>
      </c>
      <c r="H113" s="24">
        <v>2320</v>
      </c>
      <c r="I113" s="24">
        <v>1266</v>
      </c>
      <c r="J113" s="24">
        <v>1810</v>
      </c>
      <c r="K113" s="25">
        <f t="shared" si="1"/>
        <v>544</v>
      </c>
    </row>
    <row r="114" spans="1:11" ht="15" customHeight="1" x14ac:dyDescent="0.25">
      <c r="A114" s="26">
        <v>42018</v>
      </c>
      <c r="B114" s="27" t="s">
        <v>243</v>
      </c>
      <c r="C114" s="27" t="s">
        <v>244</v>
      </c>
      <c r="D114" s="27" t="s">
        <v>245</v>
      </c>
      <c r="E114" s="27" t="s">
        <v>249</v>
      </c>
      <c r="F114" s="28">
        <v>1</v>
      </c>
      <c r="G114" s="29">
        <v>1266</v>
      </c>
      <c r="H114" s="29">
        <v>2320</v>
      </c>
      <c r="I114" s="29">
        <v>1266</v>
      </c>
      <c r="J114" s="29">
        <v>2274</v>
      </c>
      <c r="K114" s="30">
        <f t="shared" si="1"/>
        <v>1008</v>
      </c>
    </row>
    <row r="115" spans="1:11" ht="15" customHeight="1" x14ac:dyDescent="0.25">
      <c r="A115" s="21">
        <v>42018</v>
      </c>
      <c r="B115" s="22" t="s">
        <v>250</v>
      </c>
      <c r="C115" s="22" t="s">
        <v>251</v>
      </c>
      <c r="D115" s="22" t="s">
        <v>245</v>
      </c>
      <c r="E115" s="22" t="s">
        <v>249</v>
      </c>
      <c r="F115" s="23">
        <v>3</v>
      </c>
      <c r="G115" s="24">
        <v>1266</v>
      </c>
      <c r="H115" s="24">
        <v>2320</v>
      </c>
      <c r="I115" s="24">
        <v>3798</v>
      </c>
      <c r="J115" s="24">
        <v>5846</v>
      </c>
      <c r="K115" s="25">
        <f t="shared" si="1"/>
        <v>2048</v>
      </c>
    </row>
    <row r="116" spans="1:11" ht="15" customHeight="1" x14ac:dyDescent="0.25">
      <c r="A116" s="26">
        <v>42018</v>
      </c>
      <c r="B116" s="27" t="s">
        <v>243</v>
      </c>
      <c r="C116" s="27" t="s">
        <v>244</v>
      </c>
      <c r="D116" s="27" t="s">
        <v>245</v>
      </c>
      <c r="E116" s="27" t="s">
        <v>249</v>
      </c>
      <c r="F116" s="28">
        <v>3</v>
      </c>
      <c r="G116" s="29">
        <v>1252</v>
      </c>
      <c r="H116" s="29">
        <v>2295</v>
      </c>
      <c r="I116" s="29">
        <v>3756</v>
      </c>
      <c r="J116" s="29">
        <v>5370</v>
      </c>
      <c r="K116" s="30">
        <f t="shared" si="1"/>
        <v>1614</v>
      </c>
    </row>
    <row r="117" spans="1:11" ht="15" customHeight="1" x14ac:dyDescent="0.25">
      <c r="A117" s="21">
        <v>42018</v>
      </c>
      <c r="B117" s="22" t="s">
        <v>250</v>
      </c>
      <c r="C117" s="22" t="s">
        <v>251</v>
      </c>
      <c r="D117" s="22" t="s">
        <v>245</v>
      </c>
      <c r="E117" s="22" t="s">
        <v>249</v>
      </c>
      <c r="F117" s="23">
        <v>2</v>
      </c>
      <c r="G117" s="24">
        <v>1252</v>
      </c>
      <c r="H117" s="24">
        <v>2295</v>
      </c>
      <c r="I117" s="24">
        <v>2504</v>
      </c>
      <c r="J117" s="24">
        <v>3993</v>
      </c>
      <c r="K117" s="25">
        <f t="shared" si="1"/>
        <v>1489</v>
      </c>
    </row>
    <row r="118" spans="1:11" ht="15" customHeight="1" x14ac:dyDescent="0.25">
      <c r="A118" s="26">
        <v>42018</v>
      </c>
      <c r="B118" s="27" t="s">
        <v>254</v>
      </c>
      <c r="C118" s="27" t="s">
        <v>255</v>
      </c>
      <c r="D118" s="27" t="s">
        <v>245</v>
      </c>
      <c r="E118" s="27" t="s">
        <v>249</v>
      </c>
      <c r="F118" s="28">
        <v>1</v>
      </c>
      <c r="G118" s="29">
        <v>1266</v>
      </c>
      <c r="H118" s="29">
        <v>2320</v>
      </c>
      <c r="I118" s="29">
        <v>1266</v>
      </c>
      <c r="J118" s="29">
        <v>2227</v>
      </c>
      <c r="K118" s="30">
        <f t="shared" si="1"/>
        <v>961</v>
      </c>
    </row>
    <row r="119" spans="1:11" ht="15" customHeight="1" x14ac:dyDescent="0.25">
      <c r="A119" s="21">
        <v>42018</v>
      </c>
      <c r="B119" s="22" t="s">
        <v>243</v>
      </c>
      <c r="C119" s="22" t="s">
        <v>244</v>
      </c>
      <c r="D119" s="22" t="s">
        <v>245</v>
      </c>
      <c r="E119" s="22" t="s">
        <v>249</v>
      </c>
      <c r="F119" s="23">
        <v>1</v>
      </c>
      <c r="G119" s="24">
        <v>1266</v>
      </c>
      <c r="H119" s="24">
        <v>2320</v>
      </c>
      <c r="I119" s="24">
        <v>1266</v>
      </c>
      <c r="J119" s="24">
        <v>1995</v>
      </c>
      <c r="K119" s="25">
        <f t="shared" si="1"/>
        <v>729</v>
      </c>
    </row>
    <row r="120" spans="1:11" ht="15" customHeight="1" x14ac:dyDescent="0.25">
      <c r="A120" s="26">
        <v>42019</v>
      </c>
      <c r="B120" s="27" t="s">
        <v>250</v>
      </c>
      <c r="C120" s="27" t="s">
        <v>251</v>
      </c>
      <c r="D120" s="27" t="s">
        <v>245</v>
      </c>
      <c r="E120" s="27" t="s">
        <v>246</v>
      </c>
      <c r="F120" s="28">
        <v>1</v>
      </c>
      <c r="G120" s="29">
        <v>1083</v>
      </c>
      <c r="H120" s="29">
        <v>1701</v>
      </c>
      <c r="I120" s="29">
        <v>1083</v>
      </c>
      <c r="J120" s="29">
        <v>1344</v>
      </c>
      <c r="K120" s="30">
        <f t="shared" si="1"/>
        <v>261</v>
      </c>
    </row>
    <row r="121" spans="1:11" ht="15" customHeight="1" x14ac:dyDescent="0.25">
      <c r="A121" s="21">
        <v>42019</v>
      </c>
      <c r="B121" s="22" t="s">
        <v>250</v>
      </c>
      <c r="C121" s="22" t="s">
        <v>251</v>
      </c>
      <c r="D121" s="22" t="s">
        <v>245</v>
      </c>
      <c r="E121" s="22" t="s">
        <v>249</v>
      </c>
      <c r="F121" s="23">
        <v>3</v>
      </c>
      <c r="G121" s="24">
        <v>1266</v>
      </c>
      <c r="H121" s="24">
        <v>2320</v>
      </c>
      <c r="I121" s="24">
        <v>3798</v>
      </c>
      <c r="J121" s="24">
        <v>6055</v>
      </c>
      <c r="K121" s="25">
        <f t="shared" si="1"/>
        <v>2257</v>
      </c>
    </row>
    <row r="122" spans="1:11" ht="15" customHeight="1" x14ac:dyDescent="0.25">
      <c r="A122" s="26">
        <v>42019</v>
      </c>
      <c r="B122" s="27" t="s">
        <v>250</v>
      </c>
      <c r="C122" s="27" t="s">
        <v>251</v>
      </c>
      <c r="D122" s="27" t="s">
        <v>245</v>
      </c>
      <c r="E122" s="27" t="s">
        <v>246</v>
      </c>
      <c r="F122" s="28">
        <v>1</v>
      </c>
      <c r="G122" s="29">
        <v>1555</v>
      </c>
      <c r="H122" s="29">
        <v>2443</v>
      </c>
      <c r="I122" s="29">
        <v>1555</v>
      </c>
      <c r="J122" s="29">
        <v>2052</v>
      </c>
      <c r="K122" s="30">
        <f t="shared" si="1"/>
        <v>497</v>
      </c>
    </row>
    <row r="123" spans="1:11" ht="15" customHeight="1" x14ac:dyDescent="0.25">
      <c r="A123" s="21">
        <v>42019</v>
      </c>
      <c r="B123" s="22" t="s">
        <v>254</v>
      </c>
      <c r="C123" s="22" t="s">
        <v>255</v>
      </c>
      <c r="D123" s="22" t="s">
        <v>245</v>
      </c>
      <c r="E123" s="22" t="s">
        <v>246</v>
      </c>
      <c r="F123" s="23">
        <v>3</v>
      </c>
      <c r="G123" s="24">
        <v>2171</v>
      </c>
      <c r="H123" s="24">
        <v>3578</v>
      </c>
      <c r="I123" s="24">
        <v>6513</v>
      </c>
      <c r="J123" s="24">
        <v>10305</v>
      </c>
      <c r="K123" s="25">
        <f t="shared" si="1"/>
        <v>3792</v>
      </c>
    </row>
    <row r="124" spans="1:11" ht="15" customHeight="1" x14ac:dyDescent="0.25">
      <c r="A124" s="26">
        <v>42019</v>
      </c>
      <c r="B124" s="27" t="s">
        <v>243</v>
      </c>
      <c r="C124" s="27" t="s">
        <v>244</v>
      </c>
      <c r="D124" s="27" t="s">
        <v>245</v>
      </c>
      <c r="E124" s="27" t="s">
        <v>249</v>
      </c>
      <c r="F124" s="28">
        <v>3</v>
      </c>
      <c r="G124" s="29">
        <v>1266</v>
      </c>
      <c r="H124" s="29">
        <v>2320</v>
      </c>
      <c r="I124" s="29">
        <v>3798</v>
      </c>
      <c r="J124" s="29">
        <v>5429</v>
      </c>
      <c r="K124" s="30">
        <f t="shared" si="1"/>
        <v>1631</v>
      </c>
    </row>
    <row r="125" spans="1:11" ht="15" customHeight="1" x14ac:dyDescent="0.25">
      <c r="A125" s="21">
        <v>42019</v>
      </c>
      <c r="B125" s="22" t="s">
        <v>250</v>
      </c>
      <c r="C125" s="22" t="s">
        <v>251</v>
      </c>
      <c r="D125" s="22" t="s">
        <v>245</v>
      </c>
      <c r="E125" s="22" t="s">
        <v>249</v>
      </c>
      <c r="F125" s="23">
        <v>3</v>
      </c>
      <c r="G125" s="24">
        <v>1266</v>
      </c>
      <c r="H125" s="24">
        <v>2320</v>
      </c>
      <c r="I125" s="24">
        <v>3798</v>
      </c>
      <c r="J125" s="24">
        <v>5498</v>
      </c>
      <c r="K125" s="25">
        <f t="shared" si="1"/>
        <v>1700</v>
      </c>
    </row>
    <row r="126" spans="1:11" ht="15" customHeight="1" x14ac:dyDescent="0.25">
      <c r="A126" s="26">
        <v>42019</v>
      </c>
      <c r="B126" s="27" t="s">
        <v>243</v>
      </c>
      <c r="C126" s="27" t="s">
        <v>244</v>
      </c>
      <c r="D126" s="27" t="s">
        <v>245</v>
      </c>
      <c r="E126" s="27" t="s">
        <v>246</v>
      </c>
      <c r="F126" s="28">
        <v>1</v>
      </c>
      <c r="G126" s="29">
        <v>2171</v>
      </c>
      <c r="H126" s="29">
        <v>3578</v>
      </c>
      <c r="I126" s="29">
        <v>2171</v>
      </c>
      <c r="J126" s="29">
        <v>3506</v>
      </c>
      <c r="K126" s="30">
        <f t="shared" si="1"/>
        <v>1335</v>
      </c>
    </row>
    <row r="127" spans="1:11" ht="15" customHeight="1" x14ac:dyDescent="0.25">
      <c r="A127" s="21">
        <v>42019</v>
      </c>
      <c r="B127" s="22" t="s">
        <v>250</v>
      </c>
      <c r="C127" s="22" t="s">
        <v>251</v>
      </c>
      <c r="D127" s="22" t="s">
        <v>245</v>
      </c>
      <c r="E127" s="22" t="s">
        <v>249</v>
      </c>
      <c r="F127" s="23">
        <v>1</v>
      </c>
      <c r="G127" s="24">
        <v>1252</v>
      </c>
      <c r="H127" s="24">
        <v>2295</v>
      </c>
      <c r="I127" s="24">
        <v>1252</v>
      </c>
      <c r="J127" s="24">
        <v>1813</v>
      </c>
      <c r="K127" s="25">
        <f t="shared" si="1"/>
        <v>561</v>
      </c>
    </row>
    <row r="128" spans="1:11" ht="15" customHeight="1" x14ac:dyDescent="0.25">
      <c r="A128" s="26">
        <v>42019</v>
      </c>
      <c r="B128" s="27" t="s">
        <v>247</v>
      </c>
      <c r="C128" s="27" t="s">
        <v>248</v>
      </c>
      <c r="D128" s="27" t="s">
        <v>245</v>
      </c>
      <c r="E128" s="27" t="s">
        <v>246</v>
      </c>
      <c r="F128" s="28">
        <v>3</v>
      </c>
      <c r="G128" s="29">
        <v>1519</v>
      </c>
      <c r="H128" s="29">
        <v>2443</v>
      </c>
      <c r="I128" s="29">
        <v>4557</v>
      </c>
      <c r="J128" s="29">
        <v>6376</v>
      </c>
      <c r="K128" s="30">
        <f t="shared" si="1"/>
        <v>1819</v>
      </c>
    </row>
    <row r="129" spans="1:11" ht="15" customHeight="1" x14ac:dyDescent="0.25">
      <c r="A129" s="21">
        <v>42019</v>
      </c>
      <c r="B129" s="22" t="s">
        <v>247</v>
      </c>
      <c r="C129" s="22" t="s">
        <v>248</v>
      </c>
      <c r="D129" s="22" t="s">
        <v>245</v>
      </c>
      <c r="E129" s="22" t="s">
        <v>246</v>
      </c>
      <c r="F129" s="23">
        <v>3</v>
      </c>
      <c r="G129" s="24">
        <v>1083</v>
      </c>
      <c r="H129" s="24">
        <v>1701</v>
      </c>
      <c r="I129" s="24">
        <v>3249</v>
      </c>
      <c r="J129" s="24">
        <v>5052</v>
      </c>
      <c r="K129" s="25">
        <f t="shared" si="1"/>
        <v>1803</v>
      </c>
    </row>
    <row r="130" spans="1:11" ht="15" customHeight="1" x14ac:dyDescent="0.25">
      <c r="A130" s="26">
        <v>42020</v>
      </c>
      <c r="B130" s="27" t="s">
        <v>247</v>
      </c>
      <c r="C130" s="27" t="s">
        <v>248</v>
      </c>
      <c r="D130" s="27" t="s">
        <v>245</v>
      </c>
      <c r="E130" s="27" t="s">
        <v>249</v>
      </c>
      <c r="F130" s="28">
        <v>1</v>
      </c>
      <c r="G130" s="29">
        <v>1252</v>
      </c>
      <c r="H130" s="29">
        <v>2295</v>
      </c>
      <c r="I130" s="29">
        <v>1252</v>
      </c>
      <c r="J130" s="29">
        <v>2134</v>
      </c>
      <c r="K130" s="30">
        <f t="shared" si="1"/>
        <v>882</v>
      </c>
    </row>
    <row r="131" spans="1:11" ht="15" customHeight="1" x14ac:dyDescent="0.25">
      <c r="A131" s="21">
        <v>42020</v>
      </c>
      <c r="B131" s="22" t="s">
        <v>250</v>
      </c>
      <c r="C131" s="22" t="s">
        <v>251</v>
      </c>
      <c r="D131" s="22" t="s">
        <v>245</v>
      </c>
      <c r="E131" s="22" t="s">
        <v>249</v>
      </c>
      <c r="F131" s="23">
        <v>3</v>
      </c>
      <c r="G131" s="24">
        <v>1266</v>
      </c>
      <c r="H131" s="24">
        <v>2320</v>
      </c>
      <c r="I131" s="24">
        <v>3798</v>
      </c>
      <c r="J131" s="24">
        <v>5707</v>
      </c>
      <c r="K131" s="25">
        <f t="shared" si="1"/>
        <v>1909</v>
      </c>
    </row>
    <row r="132" spans="1:11" ht="15" customHeight="1" x14ac:dyDescent="0.25">
      <c r="A132" s="26">
        <v>42020</v>
      </c>
      <c r="B132" s="27" t="s">
        <v>252</v>
      </c>
      <c r="C132" s="27" t="s">
        <v>253</v>
      </c>
      <c r="D132" s="27" t="s">
        <v>245</v>
      </c>
      <c r="E132" s="27" t="s">
        <v>246</v>
      </c>
      <c r="F132" s="28">
        <v>1</v>
      </c>
      <c r="G132" s="29">
        <v>1519</v>
      </c>
      <c r="H132" s="29">
        <v>2443</v>
      </c>
      <c r="I132" s="29">
        <v>1519</v>
      </c>
      <c r="J132" s="29">
        <v>2003</v>
      </c>
      <c r="K132" s="30">
        <f t="shared" si="1"/>
        <v>484</v>
      </c>
    </row>
    <row r="133" spans="1:11" ht="15" customHeight="1" x14ac:dyDescent="0.25">
      <c r="A133" s="21">
        <v>42020</v>
      </c>
      <c r="B133" s="22" t="s">
        <v>243</v>
      </c>
      <c r="C133" s="22" t="s">
        <v>244</v>
      </c>
      <c r="D133" s="22" t="s">
        <v>245</v>
      </c>
      <c r="E133" s="22" t="s">
        <v>246</v>
      </c>
      <c r="F133" s="23">
        <v>1</v>
      </c>
      <c r="G133" s="24">
        <v>2171</v>
      </c>
      <c r="H133" s="24">
        <v>3578</v>
      </c>
      <c r="I133" s="24">
        <v>2171</v>
      </c>
      <c r="J133" s="24">
        <v>3506</v>
      </c>
      <c r="K133" s="25">
        <f t="shared" ref="K133:K196" si="2">J133-I133</f>
        <v>1335</v>
      </c>
    </row>
    <row r="134" spans="1:11" ht="15" customHeight="1" x14ac:dyDescent="0.25">
      <c r="A134" s="26">
        <v>42020</v>
      </c>
      <c r="B134" s="27" t="s">
        <v>250</v>
      </c>
      <c r="C134" s="27" t="s">
        <v>251</v>
      </c>
      <c r="D134" s="27" t="s">
        <v>245</v>
      </c>
      <c r="E134" s="27" t="s">
        <v>246</v>
      </c>
      <c r="F134" s="28">
        <v>3</v>
      </c>
      <c r="G134" s="29">
        <v>2171</v>
      </c>
      <c r="H134" s="29">
        <v>3578</v>
      </c>
      <c r="I134" s="29">
        <v>6513</v>
      </c>
      <c r="J134" s="29">
        <v>9339</v>
      </c>
      <c r="K134" s="30">
        <f t="shared" si="2"/>
        <v>2826</v>
      </c>
    </row>
    <row r="135" spans="1:11" ht="15" customHeight="1" x14ac:dyDescent="0.25">
      <c r="A135" s="21">
        <v>42020</v>
      </c>
      <c r="B135" s="22" t="s">
        <v>254</v>
      </c>
      <c r="C135" s="22" t="s">
        <v>255</v>
      </c>
      <c r="D135" s="22" t="s">
        <v>245</v>
      </c>
      <c r="E135" s="22" t="s">
        <v>249</v>
      </c>
      <c r="F135" s="23">
        <v>2</v>
      </c>
      <c r="G135" s="24">
        <v>1266</v>
      </c>
      <c r="H135" s="24">
        <v>2320</v>
      </c>
      <c r="I135" s="24">
        <v>2532</v>
      </c>
      <c r="J135" s="24">
        <v>4454</v>
      </c>
      <c r="K135" s="25">
        <f t="shared" si="2"/>
        <v>1922</v>
      </c>
    </row>
    <row r="136" spans="1:11" ht="15" customHeight="1" x14ac:dyDescent="0.25">
      <c r="A136" s="26">
        <v>42020</v>
      </c>
      <c r="B136" s="27" t="s">
        <v>252</v>
      </c>
      <c r="C136" s="27" t="s">
        <v>253</v>
      </c>
      <c r="D136" s="27" t="s">
        <v>245</v>
      </c>
      <c r="E136" s="27" t="s">
        <v>246</v>
      </c>
      <c r="F136" s="28">
        <v>3</v>
      </c>
      <c r="G136" s="29">
        <v>1555</v>
      </c>
      <c r="H136" s="29">
        <v>2443</v>
      </c>
      <c r="I136" s="29">
        <v>4665</v>
      </c>
      <c r="J136" s="29">
        <v>7036</v>
      </c>
      <c r="K136" s="30">
        <f t="shared" si="2"/>
        <v>2371</v>
      </c>
    </row>
    <row r="137" spans="1:11" ht="15" customHeight="1" x14ac:dyDescent="0.25">
      <c r="A137" s="21">
        <v>42020</v>
      </c>
      <c r="B137" s="22" t="s">
        <v>256</v>
      </c>
      <c r="C137" s="22" t="s">
        <v>257</v>
      </c>
      <c r="D137" s="22" t="s">
        <v>245</v>
      </c>
      <c r="E137" s="22" t="s">
        <v>246</v>
      </c>
      <c r="F137" s="23">
        <v>1</v>
      </c>
      <c r="G137" s="24">
        <v>344</v>
      </c>
      <c r="H137" s="24">
        <v>540</v>
      </c>
      <c r="I137" s="24">
        <v>344</v>
      </c>
      <c r="J137" s="24">
        <v>535</v>
      </c>
      <c r="K137" s="25">
        <f t="shared" si="2"/>
        <v>191</v>
      </c>
    </row>
    <row r="138" spans="1:11" ht="15" customHeight="1" x14ac:dyDescent="0.25">
      <c r="A138" s="26">
        <v>42020</v>
      </c>
      <c r="B138" s="27" t="s">
        <v>243</v>
      </c>
      <c r="C138" s="27" t="s">
        <v>244</v>
      </c>
      <c r="D138" s="27" t="s">
        <v>245</v>
      </c>
      <c r="E138" s="27" t="s">
        <v>246</v>
      </c>
      <c r="F138" s="28">
        <v>1</v>
      </c>
      <c r="G138" s="29">
        <v>1555</v>
      </c>
      <c r="H138" s="29">
        <v>2443</v>
      </c>
      <c r="I138" s="29">
        <v>1555</v>
      </c>
      <c r="J138" s="29">
        <v>2394</v>
      </c>
      <c r="K138" s="30">
        <f t="shared" si="2"/>
        <v>839</v>
      </c>
    </row>
    <row r="139" spans="1:11" ht="15" customHeight="1" x14ac:dyDescent="0.25">
      <c r="A139" s="21">
        <v>42020</v>
      </c>
      <c r="B139" s="22" t="s">
        <v>243</v>
      </c>
      <c r="C139" s="22" t="s">
        <v>244</v>
      </c>
      <c r="D139" s="22" t="s">
        <v>245</v>
      </c>
      <c r="E139" s="22" t="s">
        <v>249</v>
      </c>
      <c r="F139" s="23">
        <v>1</v>
      </c>
      <c r="G139" s="24">
        <v>1252</v>
      </c>
      <c r="H139" s="24">
        <v>2295</v>
      </c>
      <c r="I139" s="24">
        <v>1252</v>
      </c>
      <c r="J139" s="24">
        <v>1974</v>
      </c>
      <c r="K139" s="25">
        <f t="shared" si="2"/>
        <v>722</v>
      </c>
    </row>
    <row r="140" spans="1:11" ht="15" customHeight="1" x14ac:dyDescent="0.25">
      <c r="A140" s="26">
        <v>42020</v>
      </c>
      <c r="B140" s="27" t="s">
        <v>243</v>
      </c>
      <c r="C140" s="27" t="s">
        <v>244</v>
      </c>
      <c r="D140" s="27" t="s">
        <v>245</v>
      </c>
      <c r="E140" s="27" t="s">
        <v>246</v>
      </c>
      <c r="F140" s="28">
        <v>1</v>
      </c>
      <c r="G140" s="29">
        <v>487</v>
      </c>
      <c r="H140" s="29">
        <v>783</v>
      </c>
      <c r="I140" s="29">
        <v>487</v>
      </c>
      <c r="J140" s="29">
        <v>673</v>
      </c>
      <c r="K140" s="30">
        <f t="shared" si="2"/>
        <v>186</v>
      </c>
    </row>
    <row r="141" spans="1:11" ht="15" customHeight="1" x14ac:dyDescent="0.25">
      <c r="A141" s="21">
        <v>42021</v>
      </c>
      <c r="B141" s="22" t="s">
        <v>243</v>
      </c>
      <c r="C141" s="22" t="s">
        <v>244</v>
      </c>
      <c r="D141" s="22" t="s">
        <v>245</v>
      </c>
      <c r="E141" s="22" t="s">
        <v>249</v>
      </c>
      <c r="F141" s="23">
        <v>3</v>
      </c>
      <c r="G141" s="24">
        <v>1252</v>
      </c>
      <c r="H141" s="24">
        <v>2295</v>
      </c>
      <c r="I141" s="24">
        <v>3756</v>
      </c>
      <c r="J141" s="24">
        <v>6747</v>
      </c>
      <c r="K141" s="25">
        <f t="shared" si="2"/>
        <v>2991</v>
      </c>
    </row>
    <row r="142" spans="1:11" ht="15" customHeight="1" x14ac:dyDescent="0.25">
      <c r="A142" s="26">
        <v>42021</v>
      </c>
      <c r="B142" s="27" t="s">
        <v>243</v>
      </c>
      <c r="C142" s="27" t="s">
        <v>244</v>
      </c>
      <c r="D142" s="27" t="s">
        <v>245</v>
      </c>
      <c r="E142" s="27" t="s">
        <v>246</v>
      </c>
      <c r="F142" s="28">
        <v>1</v>
      </c>
      <c r="G142" s="29">
        <v>1555</v>
      </c>
      <c r="H142" s="29">
        <v>2443</v>
      </c>
      <c r="I142" s="29">
        <v>1555</v>
      </c>
      <c r="J142" s="29">
        <v>2394</v>
      </c>
      <c r="K142" s="30">
        <f t="shared" si="2"/>
        <v>839</v>
      </c>
    </row>
    <row r="143" spans="1:11" ht="15" customHeight="1" x14ac:dyDescent="0.25">
      <c r="A143" s="21">
        <v>42021</v>
      </c>
      <c r="B143" s="22" t="s">
        <v>254</v>
      </c>
      <c r="C143" s="22" t="s">
        <v>255</v>
      </c>
      <c r="D143" s="22" t="s">
        <v>245</v>
      </c>
      <c r="E143" s="22" t="s">
        <v>246</v>
      </c>
      <c r="F143" s="23">
        <v>1</v>
      </c>
      <c r="G143" s="24">
        <v>1083</v>
      </c>
      <c r="H143" s="24">
        <v>1701</v>
      </c>
      <c r="I143" s="24">
        <v>1083</v>
      </c>
      <c r="J143" s="24">
        <v>1633</v>
      </c>
      <c r="K143" s="25">
        <f t="shared" si="2"/>
        <v>550</v>
      </c>
    </row>
    <row r="144" spans="1:11" ht="15" customHeight="1" x14ac:dyDescent="0.25">
      <c r="A144" s="26">
        <v>42021</v>
      </c>
      <c r="B144" s="27" t="s">
        <v>250</v>
      </c>
      <c r="C144" s="27" t="s">
        <v>251</v>
      </c>
      <c r="D144" s="27" t="s">
        <v>245</v>
      </c>
      <c r="E144" s="27" t="s">
        <v>249</v>
      </c>
      <c r="F144" s="28">
        <v>3</v>
      </c>
      <c r="G144" s="29">
        <v>1266</v>
      </c>
      <c r="H144" s="29">
        <v>2320</v>
      </c>
      <c r="I144" s="29">
        <v>3798</v>
      </c>
      <c r="J144" s="29">
        <v>5498</v>
      </c>
      <c r="K144" s="30">
        <f t="shared" si="2"/>
        <v>1700</v>
      </c>
    </row>
    <row r="145" spans="1:11" ht="15" customHeight="1" x14ac:dyDescent="0.25">
      <c r="A145" s="21">
        <v>42021</v>
      </c>
      <c r="B145" s="22" t="s">
        <v>243</v>
      </c>
      <c r="C145" s="22" t="s">
        <v>244</v>
      </c>
      <c r="D145" s="22" t="s">
        <v>245</v>
      </c>
      <c r="E145" s="22" t="s">
        <v>246</v>
      </c>
      <c r="F145" s="23">
        <v>3</v>
      </c>
      <c r="G145" s="24">
        <v>2171</v>
      </c>
      <c r="H145" s="24">
        <v>3578</v>
      </c>
      <c r="I145" s="24">
        <v>6513</v>
      </c>
      <c r="J145" s="24">
        <v>10519</v>
      </c>
      <c r="K145" s="25">
        <f t="shared" si="2"/>
        <v>4006</v>
      </c>
    </row>
    <row r="146" spans="1:11" ht="15" customHeight="1" x14ac:dyDescent="0.25">
      <c r="A146" s="26">
        <v>42021</v>
      </c>
      <c r="B146" s="27" t="s">
        <v>243</v>
      </c>
      <c r="C146" s="27" t="s">
        <v>244</v>
      </c>
      <c r="D146" s="27" t="s">
        <v>245</v>
      </c>
      <c r="E146" s="27" t="s">
        <v>249</v>
      </c>
      <c r="F146" s="28">
        <v>1</v>
      </c>
      <c r="G146" s="29">
        <v>1266</v>
      </c>
      <c r="H146" s="29">
        <v>2320</v>
      </c>
      <c r="I146" s="29">
        <v>1266</v>
      </c>
      <c r="J146" s="29">
        <v>1810</v>
      </c>
      <c r="K146" s="30">
        <f t="shared" si="2"/>
        <v>544</v>
      </c>
    </row>
    <row r="147" spans="1:11" ht="15" customHeight="1" x14ac:dyDescent="0.25">
      <c r="A147" s="21">
        <v>42021</v>
      </c>
      <c r="B147" s="22" t="s">
        <v>250</v>
      </c>
      <c r="C147" s="22" t="s">
        <v>251</v>
      </c>
      <c r="D147" s="22" t="s">
        <v>245</v>
      </c>
      <c r="E147" s="22" t="s">
        <v>249</v>
      </c>
      <c r="F147" s="23">
        <v>1</v>
      </c>
      <c r="G147" s="24">
        <v>1912</v>
      </c>
      <c r="H147" s="24">
        <v>3400</v>
      </c>
      <c r="I147" s="24">
        <v>1912</v>
      </c>
      <c r="J147" s="24">
        <v>2686</v>
      </c>
      <c r="K147" s="25">
        <f t="shared" si="2"/>
        <v>774</v>
      </c>
    </row>
    <row r="148" spans="1:11" ht="15" customHeight="1" x14ac:dyDescent="0.25">
      <c r="A148" s="26">
        <v>42022</v>
      </c>
      <c r="B148" s="27" t="s">
        <v>256</v>
      </c>
      <c r="C148" s="27" t="s">
        <v>257</v>
      </c>
      <c r="D148" s="27" t="s">
        <v>245</v>
      </c>
      <c r="E148" s="27" t="s">
        <v>246</v>
      </c>
      <c r="F148" s="28">
        <v>3</v>
      </c>
      <c r="G148" s="29">
        <v>1555</v>
      </c>
      <c r="H148" s="29">
        <v>2443</v>
      </c>
      <c r="I148" s="29">
        <v>4665</v>
      </c>
      <c r="J148" s="29">
        <v>7256</v>
      </c>
      <c r="K148" s="30">
        <f t="shared" si="2"/>
        <v>2591</v>
      </c>
    </row>
    <row r="149" spans="1:11" ht="15" customHeight="1" x14ac:dyDescent="0.25">
      <c r="A149" s="21">
        <v>42022</v>
      </c>
      <c r="B149" s="22" t="s">
        <v>247</v>
      </c>
      <c r="C149" s="22" t="s">
        <v>248</v>
      </c>
      <c r="D149" s="22" t="s">
        <v>245</v>
      </c>
      <c r="E149" s="22" t="s">
        <v>246</v>
      </c>
      <c r="F149" s="23">
        <v>3</v>
      </c>
      <c r="G149" s="24">
        <v>1083</v>
      </c>
      <c r="H149" s="24">
        <v>1701</v>
      </c>
      <c r="I149" s="24">
        <v>3249</v>
      </c>
      <c r="J149" s="24">
        <v>4440</v>
      </c>
      <c r="K149" s="25">
        <f t="shared" si="2"/>
        <v>1191</v>
      </c>
    </row>
    <row r="150" spans="1:11" ht="15" customHeight="1" x14ac:dyDescent="0.25">
      <c r="A150" s="26">
        <v>42022</v>
      </c>
      <c r="B150" s="27" t="s">
        <v>250</v>
      </c>
      <c r="C150" s="27" t="s">
        <v>251</v>
      </c>
      <c r="D150" s="27" t="s">
        <v>245</v>
      </c>
      <c r="E150" s="27" t="s">
        <v>246</v>
      </c>
      <c r="F150" s="28">
        <v>1</v>
      </c>
      <c r="G150" s="29">
        <v>1555</v>
      </c>
      <c r="H150" s="29">
        <v>2443</v>
      </c>
      <c r="I150" s="29">
        <v>1555</v>
      </c>
      <c r="J150" s="29">
        <v>2052</v>
      </c>
      <c r="K150" s="30">
        <f t="shared" si="2"/>
        <v>497</v>
      </c>
    </row>
    <row r="151" spans="1:11" ht="15" customHeight="1" x14ac:dyDescent="0.25">
      <c r="A151" s="21">
        <v>42022</v>
      </c>
      <c r="B151" s="22" t="s">
        <v>254</v>
      </c>
      <c r="C151" s="22" t="s">
        <v>255</v>
      </c>
      <c r="D151" s="22" t="s">
        <v>245</v>
      </c>
      <c r="E151" s="22" t="s">
        <v>246</v>
      </c>
      <c r="F151" s="23">
        <v>3</v>
      </c>
      <c r="G151" s="24">
        <v>713</v>
      </c>
      <c r="H151" s="24">
        <v>1120</v>
      </c>
      <c r="I151" s="24">
        <v>2139</v>
      </c>
      <c r="J151" s="24">
        <v>3226</v>
      </c>
      <c r="K151" s="25">
        <f t="shared" si="2"/>
        <v>1087</v>
      </c>
    </row>
    <row r="152" spans="1:11" ht="15" customHeight="1" x14ac:dyDescent="0.25">
      <c r="A152" s="26">
        <v>42022</v>
      </c>
      <c r="B152" s="27" t="s">
        <v>243</v>
      </c>
      <c r="C152" s="27" t="s">
        <v>244</v>
      </c>
      <c r="D152" s="27" t="s">
        <v>245</v>
      </c>
      <c r="E152" s="27" t="s">
        <v>249</v>
      </c>
      <c r="F152" s="28">
        <v>1</v>
      </c>
      <c r="G152" s="29">
        <v>1898</v>
      </c>
      <c r="H152" s="29">
        <v>3375</v>
      </c>
      <c r="I152" s="29">
        <v>1898</v>
      </c>
      <c r="J152" s="29">
        <v>3308</v>
      </c>
      <c r="K152" s="30">
        <f t="shared" si="2"/>
        <v>1410</v>
      </c>
    </row>
    <row r="153" spans="1:11" ht="15" customHeight="1" x14ac:dyDescent="0.25">
      <c r="A153" s="21">
        <v>42022</v>
      </c>
      <c r="B153" s="22" t="s">
        <v>250</v>
      </c>
      <c r="C153" s="22" t="s">
        <v>251</v>
      </c>
      <c r="D153" s="22" t="s">
        <v>245</v>
      </c>
      <c r="E153" s="22" t="s">
        <v>249</v>
      </c>
      <c r="F153" s="23">
        <v>1</v>
      </c>
      <c r="G153" s="24">
        <v>1252</v>
      </c>
      <c r="H153" s="24">
        <v>2295</v>
      </c>
      <c r="I153" s="24">
        <v>1252</v>
      </c>
      <c r="J153" s="24">
        <v>1882</v>
      </c>
      <c r="K153" s="25">
        <f t="shared" si="2"/>
        <v>630</v>
      </c>
    </row>
    <row r="154" spans="1:11" ht="15" customHeight="1" x14ac:dyDescent="0.25">
      <c r="A154" s="26">
        <v>42022</v>
      </c>
      <c r="B154" s="27" t="s">
        <v>252</v>
      </c>
      <c r="C154" s="27" t="s">
        <v>253</v>
      </c>
      <c r="D154" s="27" t="s">
        <v>245</v>
      </c>
      <c r="E154" s="27" t="s">
        <v>246</v>
      </c>
      <c r="F154" s="28">
        <v>1</v>
      </c>
      <c r="G154" s="29">
        <v>1555</v>
      </c>
      <c r="H154" s="29">
        <v>2443</v>
      </c>
      <c r="I154" s="29">
        <v>1555</v>
      </c>
      <c r="J154" s="29">
        <v>2272</v>
      </c>
      <c r="K154" s="30">
        <f t="shared" si="2"/>
        <v>717</v>
      </c>
    </row>
    <row r="155" spans="1:11" ht="15" customHeight="1" x14ac:dyDescent="0.25">
      <c r="A155" s="21">
        <v>42023</v>
      </c>
      <c r="B155" s="22" t="s">
        <v>254</v>
      </c>
      <c r="C155" s="22" t="s">
        <v>255</v>
      </c>
      <c r="D155" s="22" t="s">
        <v>245</v>
      </c>
      <c r="E155" s="22" t="s">
        <v>246</v>
      </c>
      <c r="F155" s="23">
        <v>1</v>
      </c>
      <c r="G155" s="24">
        <v>1083</v>
      </c>
      <c r="H155" s="24">
        <v>1701</v>
      </c>
      <c r="I155" s="24">
        <v>1083</v>
      </c>
      <c r="J155" s="24">
        <v>1633</v>
      </c>
      <c r="K155" s="25">
        <f t="shared" si="2"/>
        <v>550</v>
      </c>
    </row>
    <row r="156" spans="1:11" ht="15" customHeight="1" x14ac:dyDescent="0.25">
      <c r="A156" s="26">
        <v>42023</v>
      </c>
      <c r="B156" s="27" t="s">
        <v>250</v>
      </c>
      <c r="C156" s="27" t="s">
        <v>251</v>
      </c>
      <c r="D156" s="27" t="s">
        <v>245</v>
      </c>
      <c r="E156" s="27" t="s">
        <v>249</v>
      </c>
      <c r="F156" s="28">
        <v>1</v>
      </c>
      <c r="G156" s="29">
        <v>1266</v>
      </c>
      <c r="H156" s="29">
        <v>2320</v>
      </c>
      <c r="I156" s="29">
        <v>1266</v>
      </c>
      <c r="J156" s="29">
        <v>1949</v>
      </c>
      <c r="K156" s="30">
        <f t="shared" si="2"/>
        <v>683</v>
      </c>
    </row>
    <row r="157" spans="1:11" ht="15" customHeight="1" x14ac:dyDescent="0.25">
      <c r="A157" s="21">
        <v>42023</v>
      </c>
      <c r="B157" s="22" t="s">
        <v>243</v>
      </c>
      <c r="C157" s="22" t="s">
        <v>244</v>
      </c>
      <c r="D157" s="22" t="s">
        <v>245</v>
      </c>
      <c r="E157" s="22" t="s">
        <v>249</v>
      </c>
      <c r="F157" s="23">
        <v>2</v>
      </c>
      <c r="G157" s="24">
        <v>1252</v>
      </c>
      <c r="H157" s="24">
        <v>2295</v>
      </c>
      <c r="I157" s="24">
        <v>2504</v>
      </c>
      <c r="J157" s="24">
        <v>3580</v>
      </c>
      <c r="K157" s="25">
        <f t="shared" si="2"/>
        <v>1076</v>
      </c>
    </row>
    <row r="158" spans="1:11" ht="15" customHeight="1" x14ac:dyDescent="0.25">
      <c r="A158" s="26">
        <v>42023</v>
      </c>
      <c r="B158" s="27" t="s">
        <v>250</v>
      </c>
      <c r="C158" s="27" t="s">
        <v>251</v>
      </c>
      <c r="D158" s="27" t="s">
        <v>245</v>
      </c>
      <c r="E158" s="27" t="s">
        <v>249</v>
      </c>
      <c r="F158" s="28">
        <v>1</v>
      </c>
      <c r="G158" s="29">
        <v>1252</v>
      </c>
      <c r="H158" s="29">
        <v>2295</v>
      </c>
      <c r="I158" s="29">
        <v>1252</v>
      </c>
      <c r="J158" s="29">
        <v>1997</v>
      </c>
      <c r="K158" s="30">
        <f t="shared" si="2"/>
        <v>745</v>
      </c>
    </row>
    <row r="159" spans="1:11" ht="15" customHeight="1" x14ac:dyDescent="0.25">
      <c r="A159" s="21">
        <v>42023</v>
      </c>
      <c r="B159" s="22" t="s">
        <v>250</v>
      </c>
      <c r="C159" s="22" t="s">
        <v>251</v>
      </c>
      <c r="D159" s="22" t="s">
        <v>245</v>
      </c>
      <c r="E159" s="22" t="s">
        <v>246</v>
      </c>
      <c r="F159" s="23">
        <v>1</v>
      </c>
      <c r="G159" s="24">
        <v>2171</v>
      </c>
      <c r="H159" s="24">
        <v>3578</v>
      </c>
      <c r="I159" s="24">
        <v>2171</v>
      </c>
      <c r="J159" s="24">
        <v>2827</v>
      </c>
      <c r="K159" s="25">
        <f t="shared" si="2"/>
        <v>656</v>
      </c>
    </row>
    <row r="160" spans="1:11" ht="15" customHeight="1" x14ac:dyDescent="0.25">
      <c r="A160" s="26">
        <v>42024</v>
      </c>
      <c r="B160" s="27" t="s">
        <v>250</v>
      </c>
      <c r="C160" s="27" t="s">
        <v>251</v>
      </c>
      <c r="D160" s="27" t="s">
        <v>245</v>
      </c>
      <c r="E160" s="27" t="s">
        <v>249</v>
      </c>
      <c r="F160" s="28">
        <v>1</v>
      </c>
      <c r="G160" s="29">
        <v>1266</v>
      </c>
      <c r="H160" s="29">
        <v>2320</v>
      </c>
      <c r="I160" s="29">
        <v>1266</v>
      </c>
      <c r="J160" s="29">
        <v>1949</v>
      </c>
      <c r="K160" s="30">
        <f t="shared" si="2"/>
        <v>683</v>
      </c>
    </row>
    <row r="161" spans="1:11" ht="15" customHeight="1" x14ac:dyDescent="0.25">
      <c r="A161" s="21">
        <v>42024</v>
      </c>
      <c r="B161" s="22" t="s">
        <v>252</v>
      </c>
      <c r="C161" s="22" t="s">
        <v>253</v>
      </c>
      <c r="D161" s="22" t="s">
        <v>245</v>
      </c>
      <c r="E161" s="22" t="s">
        <v>246</v>
      </c>
      <c r="F161" s="23">
        <v>1</v>
      </c>
      <c r="G161" s="24">
        <v>2171</v>
      </c>
      <c r="H161" s="24">
        <v>3578</v>
      </c>
      <c r="I161" s="24">
        <v>2171</v>
      </c>
      <c r="J161" s="24">
        <v>2934</v>
      </c>
      <c r="K161" s="25">
        <f t="shared" si="2"/>
        <v>763</v>
      </c>
    </row>
    <row r="162" spans="1:11" ht="15" customHeight="1" x14ac:dyDescent="0.25">
      <c r="A162" s="26">
        <v>42024</v>
      </c>
      <c r="B162" s="27" t="s">
        <v>252</v>
      </c>
      <c r="C162" s="27" t="s">
        <v>253</v>
      </c>
      <c r="D162" s="27" t="s">
        <v>245</v>
      </c>
      <c r="E162" s="27" t="s">
        <v>249</v>
      </c>
      <c r="F162" s="28">
        <v>1</v>
      </c>
      <c r="G162" s="29">
        <v>1266</v>
      </c>
      <c r="H162" s="29">
        <v>2320</v>
      </c>
      <c r="I162" s="29">
        <v>1266</v>
      </c>
      <c r="J162" s="29">
        <v>1902</v>
      </c>
      <c r="K162" s="30">
        <f t="shared" si="2"/>
        <v>636</v>
      </c>
    </row>
    <row r="163" spans="1:11" ht="15" customHeight="1" x14ac:dyDescent="0.25">
      <c r="A163" s="21">
        <v>42024</v>
      </c>
      <c r="B163" s="22" t="s">
        <v>254</v>
      </c>
      <c r="C163" s="22" t="s">
        <v>255</v>
      </c>
      <c r="D163" s="22" t="s">
        <v>245</v>
      </c>
      <c r="E163" s="22" t="s">
        <v>249</v>
      </c>
      <c r="F163" s="23">
        <v>1</v>
      </c>
      <c r="G163" s="24">
        <v>308</v>
      </c>
      <c r="H163" s="24">
        <v>565</v>
      </c>
      <c r="I163" s="24">
        <v>308</v>
      </c>
      <c r="J163" s="24">
        <v>542</v>
      </c>
      <c r="K163" s="25">
        <f t="shared" si="2"/>
        <v>234</v>
      </c>
    </row>
    <row r="164" spans="1:11" ht="15" customHeight="1" x14ac:dyDescent="0.25">
      <c r="A164" s="26">
        <v>42024</v>
      </c>
      <c r="B164" s="27" t="s">
        <v>250</v>
      </c>
      <c r="C164" s="27" t="s">
        <v>251</v>
      </c>
      <c r="D164" s="27" t="s">
        <v>245</v>
      </c>
      <c r="E164" s="27" t="s">
        <v>246</v>
      </c>
      <c r="F164" s="28">
        <v>3</v>
      </c>
      <c r="G164" s="29">
        <v>1555</v>
      </c>
      <c r="H164" s="29">
        <v>2443</v>
      </c>
      <c r="I164" s="29">
        <v>4665</v>
      </c>
      <c r="J164" s="29">
        <v>6156</v>
      </c>
      <c r="K164" s="30">
        <f t="shared" si="2"/>
        <v>1491</v>
      </c>
    </row>
    <row r="165" spans="1:11" ht="15" customHeight="1" x14ac:dyDescent="0.25">
      <c r="A165" s="21">
        <v>42024</v>
      </c>
      <c r="B165" s="22" t="s">
        <v>243</v>
      </c>
      <c r="C165" s="22" t="s">
        <v>244</v>
      </c>
      <c r="D165" s="22" t="s">
        <v>245</v>
      </c>
      <c r="E165" s="22" t="s">
        <v>249</v>
      </c>
      <c r="F165" s="23">
        <v>1</v>
      </c>
      <c r="G165" s="24">
        <v>295</v>
      </c>
      <c r="H165" s="24">
        <v>540</v>
      </c>
      <c r="I165" s="24">
        <v>295</v>
      </c>
      <c r="J165" s="24">
        <v>464</v>
      </c>
      <c r="K165" s="25">
        <f t="shared" si="2"/>
        <v>169</v>
      </c>
    </row>
    <row r="166" spans="1:11" ht="15" customHeight="1" x14ac:dyDescent="0.25">
      <c r="A166" s="26">
        <v>42024</v>
      </c>
      <c r="B166" s="27" t="s">
        <v>250</v>
      </c>
      <c r="C166" s="27" t="s">
        <v>251</v>
      </c>
      <c r="D166" s="27" t="s">
        <v>245</v>
      </c>
      <c r="E166" s="27" t="s">
        <v>249</v>
      </c>
      <c r="F166" s="28">
        <v>1</v>
      </c>
      <c r="G166" s="29">
        <v>420</v>
      </c>
      <c r="H166" s="29">
        <v>769</v>
      </c>
      <c r="I166" s="29">
        <v>420</v>
      </c>
      <c r="J166" s="29">
        <v>669</v>
      </c>
      <c r="K166" s="30">
        <f t="shared" si="2"/>
        <v>249</v>
      </c>
    </row>
    <row r="167" spans="1:11" ht="15" customHeight="1" x14ac:dyDescent="0.25">
      <c r="A167" s="21">
        <v>42025</v>
      </c>
      <c r="B167" s="22" t="s">
        <v>250</v>
      </c>
      <c r="C167" s="22" t="s">
        <v>251</v>
      </c>
      <c r="D167" s="22" t="s">
        <v>245</v>
      </c>
      <c r="E167" s="22" t="s">
        <v>246</v>
      </c>
      <c r="F167" s="23">
        <v>2</v>
      </c>
      <c r="G167" s="24">
        <v>344</v>
      </c>
      <c r="H167" s="24">
        <v>540</v>
      </c>
      <c r="I167" s="24">
        <v>688</v>
      </c>
      <c r="J167" s="24">
        <v>940</v>
      </c>
      <c r="K167" s="25">
        <f t="shared" si="2"/>
        <v>252</v>
      </c>
    </row>
    <row r="168" spans="1:11" ht="15" customHeight="1" x14ac:dyDescent="0.25">
      <c r="A168" s="26">
        <v>42025</v>
      </c>
      <c r="B168" s="27" t="s">
        <v>250</v>
      </c>
      <c r="C168" s="27" t="s">
        <v>251</v>
      </c>
      <c r="D168" s="27" t="s">
        <v>245</v>
      </c>
      <c r="E168" s="27" t="s">
        <v>249</v>
      </c>
      <c r="F168" s="28">
        <v>1</v>
      </c>
      <c r="G168" s="29">
        <v>308</v>
      </c>
      <c r="H168" s="29">
        <v>565</v>
      </c>
      <c r="I168" s="29">
        <v>308</v>
      </c>
      <c r="J168" s="29">
        <v>492</v>
      </c>
      <c r="K168" s="30">
        <f t="shared" si="2"/>
        <v>184</v>
      </c>
    </row>
    <row r="169" spans="1:11" ht="15" customHeight="1" x14ac:dyDescent="0.25">
      <c r="A169" s="21">
        <v>42025</v>
      </c>
      <c r="B169" s="22" t="s">
        <v>250</v>
      </c>
      <c r="C169" s="22" t="s">
        <v>251</v>
      </c>
      <c r="D169" s="22" t="s">
        <v>245</v>
      </c>
      <c r="E169" s="22" t="s">
        <v>246</v>
      </c>
      <c r="F169" s="23">
        <v>1</v>
      </c>
      <c r="G169" s="24">
        <v>344</v>
      </c>
      <c r="H169" s="24">
        <v>540</v>
      </c>
      <c r="I169" s="24">
        <v>344</v>
      </c>
      <c r="J169" s="24">
        <v>470</v>
      </c>
      <c r="K169" s="25">
        <f t="shared" si="2"/>
        <v>126</v>
      </c>
    </row>
    <row r="170" spans="1:11" ht="15" customHeight="1" x14ac:dyDescent="0.25">
      <c r="A170" s="26">
        <v>42025</v>
      </c>
      <c r="B170" s="27" t="s">
        <v>243</v>
      </c>
      <c r="C170" s="27" t="s">
        <v>244</v>
      </c>
      <c r="D170" s="27" t="s">
        <v>245</v>
      </c>
      <c r="E170" s="27" t="s">
        <v>249</v>
      </c>
      <c r="F170" s="28">
        <v>2</v>
      </c>
      <c r="G170" s="29">
        <v>1252</v>
      </c>
      <c r="H170" s="29">
        <v>2295</v>
      </c>
      <c r="I170" s="29">
        <v>2504</v>
      </c>
      <c r="J170" s="29">
        <v>3580</v>
      </c>
      <c r="K170" s="30">
        <f t="shared" si="2"/>
        <v>1076</v>
      </c>
    </row>
    <row r="171" spans="1:11" ht="15" customHeight="1" x14ac:dyDescent="0.25">
      <c r="A171" s="21">
        <v>42025</v>
      </c>
      <c r="B171" s="22" t="s">
        <v>247</v>
      </c>
      <c r="C171" s="22" t="s">
        <v>248</v>
      </c>
      <c r="D171" s="22" t="s">
        <v>245</v>
      </c>
      <c r="E171" s="22" t="s">
        <v>246</v>
      </c>
      <c r="F171" s="23">
        <v>1</v>
      </c>
      <c r="G171" s="24">
        <v>1519</v>
      </c>
      <c r="H171" s="24">
        <v>2443</v>
      </c>
      <c r="I171" s="24">
        <v>1519</v>
      </c>
      <c r="J171" s="24">
        <v>2272</v>
      </c>
      <c r="K171" s="25">
        <f t="shared" si="2"/>
        <v>753</v>
      </c>
    </row>
    <row r="172" spans="1:11" ht="15" customHeight="1" x14ac:dyDescent="0.25">
      <c r="A172" s="26">
        <v>42025</v>
      </c>
      <c r="B172" s="27" t="s">
        <v>250</v>
      </c>
      <c r="C172" s="27" t="s">
        <v>251</v>
      </c>
      <c r="D172" s="27" t="s">
        <v>245</v>
      </c>
      <c r="E172" s="27" t="s">
        <v>246</v>
      </c>
      <c r="F172" s="28">
        <v>1</v>
      </c>
      <c r="G172" s="29">
        <v>2171</v>
      </c>
      <c r="H172" s="29">
        <v>3578</v>
      </c>
      <c r="I172" s="29">
        <v>2171</v>
      </c>
      <c r="J172" s="29">
        <v>2827</v>
      </c>
      <c r="K172" s="30">
        <f t="shared" si="2"/>
        <v>656</v>
      </c>
    </row>
    <row r="173" spans="1:11" ht="15" customHeight="1" x14ac:dyDescent="0.25">
      <c r="A173" s="21">
        <v>42025</v>
      </c>
      <c r="B173" s="22" t="s">
        <v>250</v>
      </c>
      <c r="C173" s="22" t="s">
        <v>251</v>
      </c>
      <c r="D173" s="22" t="s">
        <v>245</v>
      </c>
      <c r="E173" s="22" t="s">
        <v>249</v>
      </c>
      <c r="F173" s="23">
        <v>1</v>
      </c>
      <c r="G173" s="24">
        <v>1266</v>
      </c>
      <c r="H173" s="24">
        <v>2320</v>
      </c>
      <c r="I173" s="24">
        <v>1266</v>
      </c>
      <c r="J173" s="24">
        <v>1949</v>
      </c>
      <c r="K173" s="25">
        <f t="shared" si="2"/>
        <v>683</v>
      </c>
    </row>
    <row r="174" spans="1:11" ht="15" customHeight="1" x14ac:dyDescent="0.25">
      <c r="A174" s="26">
        <v>42026</v>
      </c>
      <c r="B174" s="27" t="s">
        <v>250</v>
      </c>
      <c r="C174" s="27" t="s">
        <v>251</v>
      </c>
      <c r="D174" s="27" t="s">
        <v>245</v>
      </c>
      <c r="E174" s="27" t="s">
        <v>246</v>
      </c>
      <c r="F174" s="28">
        <v>1</v>
      </c>
      <c r="G174" s="29">
        <v>1555</v>
      </c>
      <c r="H174" s="29">
        <v>2443</v>
      </c>
      <c r="I174" s="29">
        <v>1555</v>
      </c>
      <c r="J174" s="29">
        <v>2052</v>
      </c>
      <c r="K174" s="30">
        <f t="shared" si="2"/>
        <v>497</v>
      </c>
    </row>
    <row r="175" spans="1:11" ht="15" customHeight="1" x14ac:dyDescent="0.25">
      <c r="A175" s="21">
        <v>42026</v>
      </c>
      <c r="B175" s="22" t="s">
        <v>243</v>
      </c>
      <c r="C175" s="22" t="s">
        <v>244</v>
      </c>
      <c r="D175" s="22" t="s">
        <v>245</v>
      </c>
      <c r="E175" s="22" t="s">
        <v>246</v>
      </c>
      <c r="F175" s="23">
        <v>1</v>
      </c>
      <c r="G175" s="24">
        <v>1555</v>
      </c>
      <c r="H175" s="24">
        <v>2443</v>
      </c>
      <c r="I175" s="24">
        <v>1555</v>
      </c>
      <c r="J175" s="24">
        <v>2394</v>
      </c>
      <c r="K175" s="25">
        <f t="shared" si="2"/>
        <v>839</v>
      </c>
    </row>
    <row r="176" spans="1:11" ht="15" customHeight="1" x14ac:dyDescent="0.25">
      <c r="A176" s="26">
        <v>42026</v>
      </c>
      <c r="B176" s="27" t="s">
        <v>250</v>
      </c>
      <c r="C176" s="27" t="s">
        <v>251</v>
      </c>
      <c r="D176" s="27" t="s">
        <v>245</v>
      </c>
      <c r="E176" s="27" t="s">
        <v>249</v>
      </c>
      <c r="F176" s="28">
        <v>3</v>
      </c>
      <c r="G176" s="29">
        <v>1266</v>
      </c>
      <c r="H176" s="29">
        <v>2320</v>
      </c>
      <c r="I176" s="29">
        <v>3798</v>
      </c>
      <c r="J176" s="29">
        <v>5846</v>
      </c>
      <c r="K176" s="30">
        <f t="shared" si="2"/>
        <v>2048</v>
      </c>
    </row>
    <row r="177" spans="1:11" ht="15" customHeight="1" x14ac:dyDescent="0.25">
      <c r="A177" s="21">
        <v>42026</v>
      </c>
      <c r="B177" s="22" t="s">
        <v>256</v>
      </c>
      <c r="C177" s="22" t="s">
        <v>257</v>
      </c>
      <c r="D177" s="22" t="s">
        <v>245</v>
      </c>
      <c r="E177" s="22" t="s">
        <v>246</v>
      </c>
      <c r="F177" s="23">
        <v>1</v>
      </c>
      <c r="G177" s="24">
        <v>1519</v>
      </c>
      <c r="H177" s="24">
        <v>2443</v>
      </c>
      <c r="I177" s="24">
        <v>1519</v>
      </c>
      <c r="J177" s="24">
        <v>2419</v>
      </c>
      <c r="K177" s="25">
        <f t="shared" si="2"/>
        <v>900</v>
      </c>
    </row>
    <row r="178" spans="1:11" ht="15" customHeight="1" x14ac:dyDescent="0.25">
      <c r="A178" s="26">
        <v>42026</v>
      </c>
      <c r="B178" s="27" t="s">
        <v>250</v>
      </c>
      <c r="C178" s="27" t="s">
        <v>251</v>
      </c>
      <c r="D178" s="27" t="s">
        <v>245</v>
      </c>
      <c r="E178" s="27" t="s">
        <v>246</v>
      </c>
      <c r="F178" s="28">
        <v>1</v>
      </c>
      <c r="G178" s="29">
        <v>713</v>
      </c>
      <c r="H178" s="29">
        <v>1120</v>
      </c>
      <c r="I178" s="29">
        <v>713</v>
      </c>
      <c r="J178" s="29">
        <v>974</v>
      </c>
      <c r="K178" s="30">
        <f t="shared" si="2"/>
        <v>261</v>
      </c>
    </row>
    <row r="179" spans="1:11" ht="15" customHeight="1" x14ac:dyDescent="0.25">
      <c r="A179" s="21">
        <v>42026</v>
      </c>
      <c r="B179" s="22" t="s">
        <v>247</v>
      </c>
      <c r="C179" s="22" t="s">
        <v>248</v>
      </c>
      <c r="D179" s="22" t="s">
        <v>245</v>
      </c>
      <c r="E179" s="22" t="s">
        <v>246</v>
      </c>
      <c r="F179" s="23">
        <v>1</v>
      </c>
      <c r="G179" s="24">
        <v>1555</v>
      </c>
      <c r="H179" s="24">
        <v>2443</v>
      </c>
      <c r="I179" s="24">
        <v>1555</v>
      </c>
      <c r="J179" s="24">
        <v>2272</v>
      </c>
      <c r="K179" s="25">
        <f t="shared" si="2"/>
        <v>717</v>
      </c>
    </row>
    <row r="180" spans="1:11" ht="15" customHeight="1" x14ac:dyDescent="0.25">
      <c r="A180" s="26">
        <v>42026</v>
      </c>
      <c r="B180" s="27" t="s">
        <v>250</v>
      </c>
      <c r="C180" s="27" t="s">
        <v>251</v>
      </c>
      <c r="D180" s="27" t="s">
        <v>245</v>
      </c>
      <c r="E180" s="27" t="s">
        <v>249</v>
      </c>
      <c r="F180" s="28">
        <v>1</v>
      </c>
      <c r="G180" s="29">
        <v>1252</v>
      </c>
      <c r="H180" s="29">
        <v>2295</v>
      </c>
      <c r="I180" s="29">
        <v>1252</v>
      </c>
      <c r="J180" s="29">
        <v>1997</v>
      </c>
      <c r="K180" s="30">
        <f t="shared" si="2"/>
        <v>745</v>
      </c>
    </row>
    <row r="181" spans="1:11" ht="15" customHeight="1" x14ac:dyDescent="0.25">
      <c r="A181" s="21">
        <v>42026</v>
      </c>
      <c r="B181" s="22" t="s">
        <v>247</v>
      </c>
      <c r="C181" s="22" t="s">
        <v>248</v>
      </c>
      <c r="D181" s="22" t="s">
        <v>245</v>
      </c>
      <c r="E181" s="22" t="s">
        <v>246</v>
      </c>
      <c r="F181" s="23">
        <v>1</v>
      </c>
      <c r="G181" s="24">
        <v>1555</v>
      </c>
      <c r="H181" s="24">
        <v>2443</v>
      </c>
      <c r="I181" s="24">
        <v>1555</v>
      </c>
      <c r="J181" s="24">
        <v>2272</v>
      </c>
      <c r="K181" s="25">
        <f t="shared" si="2"/>
        <v>717</v>
      </c>
    </row>
    <row r="182" spans="1:11" ht="15" customHeight="1" x14ac:dyDescent="0.25">
      <c r="A182" s="26">
        <v>42026</v>
      </c>
      <c r="B182" s="27" t="s">
        <v>254</v>
      </c>
      <c r="C182" s="27" t="s">
        <v>255</v>
      </c>
      <c r="D182" s="27" t="s">
        <v>245</v>
      </c>
      <c r="E182" s="27" t="s">
        <v>246</v>
      </c>
      <c r="F182" s="28">
        <v>1</v>
      </c>
      <c r="G182" s="29">
        <v>487</v>
      </c>
      <c r="H182" s="29">
        <v>783</v>
      </c>
      <c r="I182" s="29">
        <v>487</v>
      </c>
      <c r="J182" s="29">
        <v>752</v>
      </c>
      <c r="K182" s="30">
        <f t="shared" si="2"/>
        <v>265</v>
      </c>
    </row>
    <row r="183" spans="1:11" ht="15" customHeight="1" x14ac:dyDescent="0.25">
      <c r="A183" s="21">
        <v>42026</v>
      </c>
      <c r="B183" s="22" t="s">
        <v>243</v>
      </c>
      <c r="C183" s="22" t="s">
        <v>244</v>
      </c>
      <c r="D183" s="22" t="s">
        <v>245</v>
      </c>
      <c r="E183" s="22" t="s">
        <v>246</v>
      </c>
      <c r="F183" s="23">
        <v>1</v>
      </c>
      <c r="G183" s="24">
        <v>2171</v>
      </c>
      <c r="H183" s="24">
        <v>3578</v>
      </c>
      <c r="I183" s="24">
        <v>2171</v>
      </c>
      <c r="J183" s="24">
        <v>2791</v>
      </c>
      <c r="K183" s="25">
        <f t="shared" si="2"/>
        <v>620</v>
      </c>
    </row>
    <row r="184" spans="1:11" ht="15" customHeight="1" x14ac:dyDescent="0.25">
      <c r="A184" s="26">
        <v>42027</v>
      </c>
      <c r="B184" s="27" t="s">
        <v>243</v>
      </c>
      <c r="C184" s="27" t="s">
        <v>244</v>
      </c>
      <c r="D184" s="27" t="s">
        <v>245</v>
      </c>
      <c r="E184" s="27" t="s">
        <v>246</v>
      </c>
      <c r="F184" s="28">
        <v>1</v>
      </c>
      <c r="G184" s="29">
        <v>713</v>
      </c>
      <c r="H184" s="29">
        <v>1120</v>
      </c>
      <c r="I184" s="29">
        <v>713</v>
      </c>
      <c r="J184" s="29">
        <v>963</v>
      </c>
      <c r="K184" s="30">
        <f t="shared" si="2"/>
        <v>250</v>
      </c>
    </row>
    <row r="185" spans="1:11" ht="15" customHeight="1" x14ac:dyDescent="0.25">
      <c r="A185" s="21">
        <v>42027</v>
      </c>
      <c r="B185" s="22" t="s">
        <v>250</v>
      </c>
      <c r="C185" s="22" t="s">
        <v>251</v>
      </c>
      <c r="D185" s="22" t="s">
        <v>245</v>
      </c>
      <c r="E185" s="22" t="s">
        <v>246</v>
      </c>
      <c r="F185" s="23">
        <v>1</v>
      </c>
      <c r="G185" s="24">
        <v>1083</v>
      </c>
      <c r="H185" s="24">
        <v>1701</v>
      </c>
      <c r="I185" s="24">
        <v>1083</v>
      </c>
      <c r="J185" s="24">
        <v>1480</v>
      </c>
      <c r="K185" s="25">
        <f t="shared" si="2"/>
        <v>397</v>
      </c>
    </row>
    <row r="186" spans="1:11" ht="15" customHeight="1" x14ac:dyDescent="0.25">
      <c r="A186" s="26">
        <v>42027</v>
      </c>
      <c r="B186" s="27" t="s">
        <v>243</v>
      </c>
      <c r="C186" s="27" t="s">
        <v>244</v>
      </c>
      <c r="D186" s="27" t="s">
        <v>245</v>
      </c>
      <c r="E186" s="27" t="s">
        <v>246</v>
      </c>
      <c r="F186" s="28">
        <v>1</v>
      </c>
      <c r="G186" s="29">
        <v>713</v>
      </c>
      <c r="H186" s="29">
        <v>1120</v>
      </c>
      <c r="I186" s="29">
        <v>713</v>
      </c>
      <c r="J186" s="29">
        <v>1098</v>
      </c>
      <c r="K186" s="30">
        <f t="shared" si="2"/>
        <v>385</v>
      </c>
    </row>
    <row r="187" spans="1:11" ht="15" customHeight="1" x14ac:dyDescent="0.25">
      <c r="A187" s="21">
        <v>42027</v>
      </c>
      <c r="B187" s="22" t="s">
        <v>252</v>
      </c>
      <c r="C187" s="22" t="s">
        <v>253</v>
      </c>
      <c r="D187" s="22" t="s">
        <v>245</v>
      </c>
      <c r="E187" s="22" t="s">
        <v>246</v>
      </c>
      <c r="F187" s="23">
        <v>1</v>
      </c>
      <c r="G187" s="24">
        <v>713</v>
      </c>
      <c r="H187" s="24">
        <v>1120</v>
      </c>
      <c r="I187" s="24">
        <v>713</v>
      </c>
      <c r="J187" s="24">
        <v>918</v>
      </c>
      <c r="K187" s="25">
        <f t="shared" si="2"/>
        <v>205</v>
      </c>
    </row>
    <row r="188" spans="1:11" ht="15" customHeight="1" x14ac:dyDescent="0.25">
      <c r="A188" s="26">
        <v>42027</v>
      </c>
      <c r="B188" s="27" t="s">
        <v>250</v>
      </c>
      <c r="C188" s="27" t="s">
        <v>251</v>
      </c>
      <c r="D188" s="27" t="s">
        <v>245</v>
      </c>
      <c r="E188" s="27" t="s">
        <v>246</v>
      </c>
      <c r="F188" s="28">
        <v>1</v>
      </c>
      <c r="G188" s="29">
        <v>1083</v>
      </c>
      <c r="H188" s="29">
        <v>1701</v>
      </c>
      <c r="I188" s="29">
        <v>1083</v>
      </c>
      <c r="J188" s="29">
        <v>1344</v>
      </c>
      <c r="K188" s="30">
        <f t="shared" si="2"/>
        <v>261</v>
      </c>
    </row>
    <row r="189" spans="1:11" ht="15" customHeight="1" x14ac:dyDescent="0.25">
      <c r="A189" s="21">
        <v>42027</v>
      </c>
      <c r="B189" s="22" t="s">
        <v>247</v>
      </c>
      <c r="C189" s="22" t="s">
        <v>248</v>
      </c>
      <c r="D189" s="22" t="s">
        <v>245</v>
      </c>
      <c r="E189" s="22" t="s">
        <v>246</v>
      </c>
      <c r="F189" s="23">
        <v>3</v>
      </c>
      <c r="G189" s="24">
        <v>713</v>
      </c>
      <c r="H189" s="24">
        <v>1120</v>
      </c>
      <c r="I189" s="24">
        <v>2139</v>
      </c>
      <c r="J189" s="24">
        <v>3125</v>
      </c>
      <c r="K189" s="25">
        <f t="shared" si="2"/>
        <v>986</v>
      </c>
    </row>
    <row r="190" spans="1:11" ht="15" customHeight="1" x14ac:dyDescent="0.25">
      <c r="A190" s="26">
        <v>42027</v>
      </c>
      <c r="B190" s="27" t="s">
        <v>243</v>
      </c>
      <c r="C190" s="27" t="s">
        <v>244</v>
      </c>
      <c r="D190" s="27" t="s">
        <v>245</v>
      </c>
      <c r="E190" s="27" t="s">
        <v>246</v>
      </c>
      <c r="F190" s="28">
        <v>1</v>
      </c>
      <c r="G190" s="29">
        <v>713</v>
      </c>
      <c r="H190" s="29">
        <v>1120</v>
      </c>
      <c r="I190" s="29">
        <v>713</v>
      </c>
      <c r="J190" s="29">
        <v>1098</v>
      </c>
      <c r="K190" s="30">
        <f t="shared" si="2"/>
        <v>385</v>
      </c>
    </row>
    <row r="191" spans="1:11" ht="15" customHeight="1" x14ac:dyDescent="0.25">
      <c r="A191" s="21">
        <v>42027</v>
      </c>
      <c r="B191" s="22" t="s">
        <v>254</v>
      </c>
      <c r="C191" s="22" t="s">
        <v>255</v>
      </c>
      <c r="D191" s="22" t="s">
        <v>245</v>
      </c>
      <c r="E191" s="22" t="s">
        <v>246</v>
      </c>
      <c r="F191" s="23">
        <v>1</v>
      </c>
      <c r="G191" s="24">
        <v>713</v>
      </c>
      <c r="H191" s="24">
        <v>1120</v>
      </c>
      <c r="I191" s="24">
        <v>713</v>
      </c>
      <c r="J191" s="24">
        <v>1075</v>
      </c>
      <c r="K191" s="25">
        <f t="shared" si="2"/>
        <v>362</v>
      </c>
    </row>
    <row r="192" spans="1:11" ht="15" customHeight="1" x14ac:dyDescent="0.25">
      <c r="A192" s="26">
        <v>42027</v>
      </c>
      <c r="B192" s="27" t="s">
        <v>250</v>
      </c>
      <c r="C192" s="27" t="s">
        <v>251</v>
      </c>
      <c r="D192" s="27" t="s">
        <v>245</v>
      </c>
      <c r="E192" s="27" t="s">
        <v>246</v>
      </c>
      <c r="F192" s="28">
        <v>1</v>
      </c>
      <c r="G192" s="29">
        <v>344</v>
      </c>
      <c r="H192" s="29">
        <v>540</v>
      </c>
      <c r="I192" s="29">
        <v>344</v>
      </c>
      <c r="J192" s="29">
        <v>437</v>
      </c>
      <c r="K192" s="30">
        <f t="shared" si="2"/>
        <v>93</v>
      </c>
    </row>
    <row r="193" spans="1:11" ht="15" customHeight="1" x14ac:dyDescent="0.25">
      <c r="A193" s="21">
        <v>42027</v>
      </c>
      <c r="B193" s="22" t="s">
        <v>254</v>
      </c>
      <c r="C193" s="22" t="s">
        <v>255</v>
      </c>
      <c r="D193" s="22" t="s">
        <v>245</v>
      </c>
      <c r="E193" s="22" t="s">
        <v>249</v>
      </c>
      <c r="F193" s="23">
        <v>3</v>
      </c>
      <c r="G193" s="24">
        <v>420</v>
      </c>
      <c r="H193" s="24">
        <v>769</v>
      </c>
      <c r="I193" s="24">
        <v>1260</v>
      </c>
      <c r="J193" s="24">
        <v>2215</v>
      </c>
      <c r="K193" s="25">
        <f t="shared" si="2"/>
        <v>955</v>
      </c>
    </row>
    <row r="194" spans="1:11" ht="15" customHeight="1" x14ac:dyDescent="0.25">
      <c r="A194" s="26">
        <v>42027</v>
      </c>
      <c r="B194" s="27" t="s">
        <v>250</v>
      </c>
      <c r="C194" s="27" t="s">
        <v>251</v>
      </c>
      <c r="D194" s="27" t="s">
        <v>245</v>
      </c>
      <c r="E194" s="27" t="s">
        <v>249</v>
      </c>
      <c r="F194" s="28">
        <v>3</v>
      </c>
      <c r="G194" s="29">
        <v>1252</v>
      </c>
      <c r="H194" s="29">
        <v>2295</v>
      </c>
      <c r="I194" s="29">
        <v>3756</v>
      </c>
      <c r="J194" s="29">
        <v>5439</v>
      </c>
      <c r="K194" s="30">
        <f t="shared" si="2"/>
        <v>1683</v>
      </c>
    </row>
    <row r="195" spans="1:11" ht="15" customHeight="1" x14ac:dyDescent="0.25">
      <c r="A195" s="21">
        <v>42027</v>
      </c>
      <c r="B195" s="22" t="s">
        <v>250</v>
      </c>
      <c r="C195" s="22" t="s">
        <v>251</v>
      </c>
      <c r="D195" s="22" t="s">
        <v>245</v>
      </c>
      <c r="E195" s="22" t="s">
        <v>246</v>
      </c>
      <c r="F195" s="23">
        <v>1</v>
      </c>
      <c r="G195" s="24">
        <v>2171</v>
      </c>
      <c r="H195" s="24">
        <v>3578</v>
      </c>
      <c r="I195" s="24">
        <v>2171</v>
      </c>
      <c r="J195" s="24">
        <v>3006</v>
      </c>
      <c r="K195" s="25">
        <f t="shared" si="2"/>
        <v>835</v>
      </c>
    </row>
    <row r="196" spans="1:11" ht="15" customHeight="1" x14ac:dyDescent="0.25">
      <c r="A196" s="26">
        <v>42027</v>
      </c>
      <c r="B196" s="27" t="s">
        <v>243</v>
      </c>
      <c r="C196" s="27" t="s">
        <v>244</v>
      </c>
      <c r="D196" s="27" t="s">
        <v>245</v>
      </c>
      <c r="E196" s="27" t="s">
        <v>246</v>
      </c>
      <c r="F196" s="28">
        <v>1</v>
      </c>
      <c r="G196" s="29">
        <v>2171</v>
      </c>
      <c r="H196" s="29">
        <v>3578</v>
      </c>
      <c r="I196" s="29">
        <v>2171</v>
      </c>
      <c r="J196" s="29">
        <v>3506</v>
      </c>
      <c r="K196" s="30">
        <f t="shared" si="2"/>
        <v>1335</v>
      </c>
    </row>
    <row r="197" spans="1:11" ht="15" customHeight="1" x14ac:dyDescent="0.25">
      <c r="A197" s="21">
        <v>42027</v>
      </c>
      <c r="B197" s="22" t="s">
        <v>250</v>
      </c>
      <c r="C197" s="22" t="s">
        <v>251</v>
      </c>
      <c r="D197" s="22" t="s">
        <v>245</v>
      </c>
      <c r="E197" s="22" t="s">
        <v>249</v>
      </c>
      <c r="F197" s="23">
        <v>3</v>
      </c>
      <c r="G197" s="24">
        <v>1252</v>
      </c>
      <c r="H197" s="24">
        <v>2295</v>
      </c>
      <c r="I197" s="24">
        <v>3756</v>
      </c>
      <c r="J197" s="24">
        <v>5646</v>
      </c>
      <c r="K197" s="25">
        <f t="shared" ref="K197:K260" si="3">J197-I197</f>
        <v>1890</v>
      </c>
    </row>
    <row r="198" spans="1:11" ht="15" customHeight="1" x14ac:dyDescent="0.25">
      <c r="A198" s="26">
        <v>42028</v>
      </c>
      <c r="B198" s="27" t="s">
        <v>243</v>
      </c>
      <c r="C198" s="27" t="s">
        <v>244</v>
      </c>
      <c r="D198" s="27" t="s">
        <v>245</v>
      </c>
      <c r="E198" s="27" t="s">
        <v>246</v>
      </c>
      <c r="F198" s="28">
        <v>1</v>
      </c>
      <c r="G198" s="29">
        <v>2171</v>
      </c>
      <c r="H198" s="29">
        <v>3578</v>
      </c>
      <c r="I198" s="29">
        <v>2171</v>
      </c>
      <c r="J198" s="29">
        <v>3506</v>
      </c>
      <c r="K198" s="30">
        <f t="shared" si="3"/>
        <v>1335</v>
      </c>
    </row>
    <row r="199" spans="1:11" ht="15" customHeight="1" x14ac:dyDescent="0.25">
      <c r="A199" s="21">
        <v>42028</v>
      </c>
      <c r="B199" s="22" t="s">
        <v>250</v>
      </c>
      <c r="C199" s="22" t="s">
        <v>251</v>
      </c>
      <c r="D199" s="22" t="s">
        <v>245</v>
      </c>
      <c r="E199" s="22" t="s">
        <v>246</v>
      </c>
      <c r="F199" s="23">
        <v>1</v>
      </c>
      <c r="G199" s="24">
        <v>1555</v>
      </c>
      <c r="H199" s="24">
        <v>2443</v>
      </c>
      <c r="I199" s="24">
        <v>1555</v>
      </c>
      <c r="J199" s="24">
        <v>2125</v>
      </c>
      <c r="K199" s="25">
        <f t="shared" si="3"/>
        <v>570</v>
      </c>
    </row>
    <row r="200" spans="1:11" ht="15" customHeight="1" x14ac:dyDescent="0.25">
      <c r="A200" s="26">
        <v>42028</v>
      </c>
      <c r="B200" s="27" t="s">
        <v>247</v>
      </c>
      <c r="C200" s="27" t="s">
        <v>248</v>
      </c>
      <c r="D200" s="27" t="s">
        <v>245</v>
      </c>
      <c r="E200" s="27" t="s">
        <v>246</v>
      </c>
      <c r="F200" s="28">
        <v>1</v>
      </c>
      <c r="G200" s="29">
        <v>713</v>
      </c>
      <c r="H200" s="29">
        <v>1120</v>
      </c>
      <c r="I200" s="29">
        <v>713</v>
      </c>
      <c r="J200" s="29">
        <v>1042</v>
      </c>
      <c r="K200" s="30">
        <f t="shared" si="3"/>
        <v>329</v>
      </c>
    </row>
    <row r="201" spans="1:11" ht="15" customHeight="1" x14ac:dyDescent="0.25">
      <c r="A201" s="21">
        <v>42028</v>
      </c>
      <c r="B201" s="22" t="s">
        <v>243</v>
      </c>
      <c r="C201" s="22" t="s">
        <v>244</v>
      </c>
      <c r="D201" s="22" t="s">
        <v>245</v>
      </c>
      <c r="E201" s="22" t="s">
        <v>246</v>
      </c>
      <c r="F201" s="23">
        <v>2</v>
      </c>
      <c r="G201" s="24">
        <v>344</v>
      </c>
      <c r="H201" s="24">
        <v>540</v>
      </c>
      <c r="I201" s="24">
        <v>688</v>
      </c>
      <c r="J201" s="24">
        <v>1058</v>
      </c>
      <c r="K201" s="25">
        <f t="shared" si="3"/>
        <v>370</v>
      </c>
    </row>
    <row r="202" spans="1:11" ht="15" customHeight="1" x14ac:dyDescent="0.25">
      <c r="A202" s="26">
        <v>42028</v>
      </c>
      <c r="B202" s="27" t="s">
        <v>252</v>
      </c>
      <c r="C202" s="27" t="s">
        <v>253</v>
      </c>
      <c r="D202" s="27" t="s">
        <v>245</v>
      </c>
      <c r="E202" s="27" t="s">
        <v>249</v>
      </c>
      <c r="F202" s="28">
        <v>3</v>
      </c>
      <c r="G202" s="29">
        <v>1898</v>
      </c>
      <c r="H202" s="29">
        <v>3375</v>
      </c>
      <c r="I202" s="29">
        <v>5694</v>
      </c>
      <c r="J202" s="29">
        <v>9416</v>
      </c>
      <c r="K202" s="30">
        <f t="shared" si="3"/>
        <v>3722</v>
      </c>
    </row>
    <row r="203" spans="1:11" ht="15" customHeight="1" x14ac:dyDescent="0.25">
      <c r="A203" s="21">
        <v>42028</v>
      </c>
      <c r="B203" s="22" t="s">
        <v>254</v>
      </c>
      <c r="C203" s="22" t="s">
        <v>255</v>
      </c>
      <c r="D203" s="22" t="s">
        <v>245</v>
      </c>
      <c r="E203" s="22" t="s">
        <v>249</v>
      </c>
      <c r="F203" s="23">
        <v>2</v>
      </c>
      <c r="G203" s="24">
        <v>1252</v>
      </c>
      <c r="H203" s="24">
        <v>2295</v>
      </c>
      <c r="I203" s="24">
        <v>2504</v>
      </c>
      <c r="J203" s="24">
        <v>4406</v>
      </c>
      <c r="K203" s="25">
        <f t="shared" si="3"/>
        <v>1902</v>
      </c>
    </row>
    <row r="204" spans="1:11" ht="15" customHeight="1" x14ac:dyDescent="0.25">
      <c r="A204" s="26">
        <v>42028</v>
      </c>
      <c r="B204" s="27" t="s">
        <v>247</v>
      </c>
      <c r="C204" s="27" t="s">
        <v>248</v>
      </c>
      <c r="D204" s="27" t="s">
        <v>245</v>
      </c>
      <c r="E204" s="27" t="s">
        <v>249</v>
      </c>
      <c r="F204" s="28">
        <v>3</v>
      </c>
      <c r="G204" s="29">
        <v>1252</v>
      </c>
      <c r="H204" s="29">
        <v>2295</v>
      </c>
      <c r="I204" s="29">
        <v>3756</v>
      </c>
      <c r="J204" s="29">
        <v>6816</v>
      </c>
      <c r="K204" s="30">
        <f t="shared" si="3"/>
        <v>3060</v>
      </c>
    </row>
    <row r="205" spans="1:11" ht="15" customHeight="1" x14ac:dyDescent="0.25">
      <c r="A205" s="21">
        <v>42029</v>
      </c>
      <c r="B205" s="22" t="s">
        <v>243</v>
      </c>
      <c r="C205" s="22" t="s">
        <v>244</v>
      </c>
      <c r="D205" s="22" t="s">
        <v>245</v>
      </c>
      <c r="E205" s="22" t="s">
        <v>246</v>
      </c>
      <c r="F205" s="23">
        <v>1</v>
      </c>
      <c r="G205" s="24">
        <v>344</v>
      </c>
      <c r="H205" s="24">
        <v>540</v>
      </c>
      <c r="I205" s="24">
        <v>344</v>
      </c>
      <c r="J205" s="24">
        <v>421</v>
      </c>
      <c r="K205" s="25">
        <f t="shared" si="3"/>
        <v>77</v>
      </c>
    </row>
    <row r="206" spans="1:11" ht="15" customHeight="1" x14ac:dyDescent="0.25">
      <c r="A206" s="26">
        <v>42029</v>
      </c>
      <c r="B206" s="27" t="s">
        <v>252</v>
      </c>
      <c r="C206" s="27" t="s">
        <v>253</v>
      </c>
      <c r="D206" s="27" t="s">
        <v>245</v>
      </c>
      <c r="E206" s="27" t="s">
        <v>249</v>
      </c>
      <c r="F206" s="28">
        <v>1</v>
      </c>
      <c r="G206" s="29">
        <v>1252</v>
      </c>
      <c r="H206" s="29">
        <v>2295</v>
      </c>
      <c r="I206" s="29">
        <v>1252</v>
      </c>
      <c r="J206" s="29">
        <v>1813</v>
      </c>
      <c r="K206" s="30">
        <f t="shared" si="3"/>
        <v>561</v>
      </c>
    </row>
    <row r="207" spans="1:11" ht="15" customHeight="1" x14ac:dyDescent="0.25">
      <c r="A207" s="21">
        <v>42029</v>
      </c>
      <c r="B207" s="22" t="s">
        <v>243</v>
      </c>
      <c r="C207" s="22" t="s">
        <v>244</v>
      </c>
      <c r="D207" s="22" t="s">
        <v>245</v>
      </c>
      <c r="E207" s="22" t="s">
        <v>246</v>
      </c>
      <c r="F207" s="23">
        <v>1</v>
      </c>
      <c r="G207" s="24">
        <v>2171</v>
      </c>
      <c r="H207" s="24">
        <v>3578</v>
      </c>
      <c r="I207" s="24">
        <v>2171</v>
      </c>
      <c r="J207" s="24">
        <v>3506</v>
      </c>
      <c r="K207" s="25">
        <f t="shared" si="3"/>
        <v>1335</v>
      </c>
    </row>
    <row r="208" spans="1:11" ht="15" customHeight="1" x14ac:dyDescent="0.25">
      <c r="A208" s="26">
        <v>42029</v>
      </c>
      <c r="B208" s="27" t="s">
        <v>250</v>
      </c>
      <c r="C208" s="27" t="s">
        <v>251</v>
      </c>
      <c r="D208" s="27" t="s">
        <v>245</v>
      </c>
      <c r="E208" s="27" t="s">
        <v>246</v>
      </c>
      <c r="F208" s="28">
        <v>1</v>
      </c>
      <c r="G208" s="29">
        <v>2171</v>
      </c>
      <c r="H208" s="29">
        <v>3578</v>
      </c>
      <c r="I208" s="29">
        <v>2171</v>
      </c>
      <c r="J208" s="29">
        <v>3113</v>
      </c>
      <c r="K208" s="30">
        <f t="shared" si="3"/>
        <v>942</v>
      </c>
    </row>
    <row r="209" spans="1:11" ht="15" customHeight="1" x14ac:dyDescent="0.25">
      <c r="A209" s="21">
        <v>42030</v>
      </c>
      <c r="B209" s="22" t="s">
        <v>252</v>
      </c>
      <c r="C209" s="22" t="s">
        <v>253</v>
      </c>
      <c r="D209" s="22" t="s">
        <v>245</v>
      </c>
      <c r="E209" s="22" t="s">
        <v>249</v>
      </c>
      <c r="F209" s="23">
        <v>1</v>
      </c>
      <c r="G209" s="24">
        <v>1252</v>
      </c>
      <c r="H209" s="24">
        <v>2295</v>
      </c>
      <c r="I209" s="24">
        <v>1252</v>
      </c>
      <c r="J209" s="24">
        <v>2134</v>
      </c>
      <c r="K209" s="25">
        <f t="shared" si="3"/>
        <v>882</v>
      </c>
    </row>
    <row r="210" spans="1:11" ht="15" customHeight="1" x14ac:dyDescent="0.25">
      <c r="A210" s="26">
        <v>42030</v>
      </c>
      <c r="B210" s="27" t="s">
        <v>250</v>
      </c>
      <c r="C210" s="27" t="s">
        <v>251</v>
      </c>
      <c r="D210" s="27" t="s">
        <v>245</v>
      </c>
      <c r="E210" s="27" t="s">
        <v>246</v>
      </c>
      <c r="F210" s="28">
        <v>2</v>
      </c>
      <c r="G210" s="29">
        <v>1555</v>
      </c>
      <c r="H210" s="29">
        <v>2443</v>
      </c>
      <c r="I210" s="29">
        <v>3110</v>
      </c>
      <c r="J210" s="29">
        <v>3958</v>
      </c>
      <c r="K210" s="30">
        <f t="shared" si="3"/>
        <v>848</v>
      </c>
    </row>
    <row r="211" spans="1:11" ht="15" customHeight="1" x14ac:dyDescent="0.25">
      <c r="A211" s="21">
        <v>42030</v>
      </c>
      <c r="B211" s="22" t="s">
        <v>250</v>
      </c>
      <c r="C211" s="22" t="s">
        <v>251</v>
      </c>
      <c r="D211" s="22" t="s">
        <v>245</v>
      </c>
      <c r="E211" s="22" t="s">
        <v>246</v>
      </c>
      <c r="F211" s="23">
        <v>3</v>
      </c>
      <c r="G211" s="24">
        <v>1555</v>
      </c>
      <c r="H211" s="24">
        <v>2443</v>
      </c>
      <c r="I211" s="24">
        <v>4665</v>
      </c>
      <c r="J211" s="24">
        <v>6156</v>
      </c>
      <c r="K211" s="25">
        <f t="shared" si="3"/>
        <v>1491</v>
      </c>
    </row>
    <row r="212" spans="1:11" ht="15" customHeight="1" x14ac:dyDescent="0.25">
      <c r="A212" s="26">
        <v>42030</v>
      </c>
      <c r="B212" s="27" t="s">
        <v>243</v>
      </c>
      <c r="C212" s="27" t="s">
        <v>244</v>
      </c>
      <c r="D212" s="27" t="s">
        <v>245</v>
      </c>
      <c r="E212" s="27" t="s">
        <v>249</v>
      </c>
      <c r="F212" s="28">
        <v>3</v>
      </c>
      <c r="G212" s="29">
        <v>420</v>
      </c>
      <c r="H212" s="29">
        <v>769</v>
      </c>
      <c r="I212" s="29">
        <v>1260</v>
      </c>
      <c r="J212" s="29">
        <v>2261</v>
      </c>
      <c r="K212" s="30">
        <f t="shared" si="3"/>
        <v>1001</v>
      </c>
    </row>
    <row r="213" spans="1:11" ht="15" customHeight="1" x14ac:dyDescent="0.25">
      <c r="A213" s="21">
        <v>42030</v>
      </c>
      <c r="B213" s="22" t="s">
        <v>250</v>
      </c>
      <c r="C213" s="22" t="s">
        <v>251</v>
      </c>
      <c r="D213" s="22" t="s">
        <v>245</v>
      </c>
      <c r="E213" s="22" t="s">
        <v>249</v>
      </c>
      <c r="F213" s="23">
        <v>2</v>
      </c>
      <c r="G213" s="24">
        <v>1266</v>
      </c>
      <c r="H213" s="24">
        <v>2320</v>
      </c>
      <c r="I213" s="24">
        <v>2532</v>
      </c>
      <c r="J213" s="24">
        <v>4037</v>
      </c>
      <c r="K213" s="25">
        <f t="shared" si="3"/>
        <v>1505</v>
      </c>
    </row>
    <row r="214" spans="1:11" ht="15" customHeight="1" x14ac:dyDescent="0.25">
      <c r="A214" s="26">
        <v>42030</v>
      </c>
      <c r="B214" s="27" t="s">
        <v>252</v>
      </c>
      <c r="C214" s="27" t="s">
        <v>253</v>
      </c>
      <c r="D214" s="27" t="s">
        <v>245</v>
      </c>
      <c r="E214" s="27" t="s">
        <v>246</v>
      </c>
      <c r="F214" s="28">
        <v>1</v>
      </c>
      <c r="G214" s="29">
        <v>1555</v>
      </c>
      <c r="H214" s="29">
        <v>2443</v>
      </c>
      <c r="I214" s="29">
        <v>1555</v>
      </c>
      <c r="J214" s="29">
        <v>2272</v>
      </c>
      <c r="K214" s="30">
        <f t="shared" si="3"/>
        <v>717</v>
      </c>
    </row>
    <row r="215" spans="1:11" ht="15" customHeight="1" x14ac:dyDescent="0.25">
      <c r="A215" s="21">
        <v>42030</v>
      </c>
      <c r="B215" s="22" t="s">
        <v>250</v>
      </c>
      <c r="C215" s="22" t="s">
        <v>251</v>
      </c>
      <c r="D215" s="22" t="s">
        <v>245</v>
      </c>
      <c r="E215" s="22" t="s">
        <v>246</v>
      </c>
      <c r="F215" s="23">
        <v>1</v>
      </c>
      <c r="G215" s="24">
        <v>344</v>
      </c>
      <c r="H215" s="24">
        <v>540</v>
      </c>
      <c r="I215" s="24">
        <v>344</v>
      </c>
      <c r="J215" s="24">
        <v>470</v>
      </c>
      <c r="K215" s="25">
        <f t="shared" si="3"/>
        <v>126</v>
      </c>
    </row>
    <row r="216" spans="1:11" ht="15" customHeight="1" x14ac:dyDescent="0.25">
      <c r="A216" s="26">
        <v>42030</v>
      </c>
      <c r="B216" s="27" t="s">
        <v>254</v>
      </c>
      <c r="C216" s="27" t="s">
        <v>255</v>
      </c>
      <c r="D216" s="27" t="s">
        <v>245</v>
      </c>
      <c r="E216" s="27" t="s">
        <v>249</v>
      </c>
      <c r="F216" s="28">
        <v>1</v>
      </c>
      <c r="G216" s="29">
        <v>1266</v>
      </c>
      <c r="H216" s="29">
        <v>2320</v>
      </c>
      <c r="I216" s="29">
        <v>1266</v>
      </c>
      <c r="J216" s="29">
        <v>2227</v>
      </c>
      <c r="K216" s="30">
        <f t="shared" si="3"/>
        <v>961</v>
      </c>
    </row>
    <row r="217" spans="1:11" ht="15" customHeight="1" x14ac:dyDescent="0.25">
      <c r="A217" s="21">
        <v>42030</v>
      </c>
      <c r="B217" s="22" t="s">
        <v>250</v>
      </c>
      <c r="C217" s="22" t="s">
        <v>251</v>
      </c>
      <c r="D217" s="22" t="s">
        <v>245</v>
      </c>
      <c r="E217" s="22" t="s">
        <v>246</v>
      </c>
      <c r="F217" s="23">
        <v>2</v>
      </c>
      <c r="G217" s="24">
        <v>344</v>
      </c>
      <c r="H217" s="24">
        <v>540</v>
      </c>
      <c r="I217" s="24">
        <v>688</v>
      </c>
      <c r="J217" s="24">
        <v>853</v>
      </c>
      <c r="K217" s="25">
        <f t="shared" si="3"/>
        <v>165</v>
      </c>
    </row>
    <row r="218" spans="1:11" ht="15" customHeight="1" x14ac:dyDescent="0.25">
      <c r="A218" s="26">
        <v>42030</v>
      </c>
      <c r="B218" s="27" t="s">
        <v>250</v>
      </c>
      <c r="C218" s="27" t="s">
        <v>251</v>
      </c>
      <c r="D218" s="27" t="s">
        <v>245</v>
      </c>
      <c r="E218" s="27" t="s">
        <v>249</v>
      </c>
      <c r="F218" s="28">
        <v>2</v>
      </c>
      <c r="G218" s="29">
        <v>1252</v>
      </c>
      <c r="H218" s="29">
        <v>2295</v>
      </c>
      <c r="I218" s="29">
        <v>2504</v>
      </c>
      <c r="J218" s="29">
        <v>3993</v>
      </c>
      <c r="K218" s="30">
        <f t="shared" si="3"/>
        <v>1489</v>
      </c>
    </row>
    <row r="219" spans="1:11" ht="15" customHeight="1" x14ac:dyDescent="0.25">
      <c r="A219" s="21">
        <v>42031</v>
      </c>
      <c r="B219" s="22" t="s">
        <v>250</v>
      </c>
      <c r="C219" s="22" t="s">
        <v>251</v>
      </c>
      <c r="D219" s="22" t="s">
        <v>245</v>
      </c>
      <c r="E219" s="22" t="s">
        <v>246</v>
      </c>
      <c r="F219" s="23">
        <v>1</v>
      </c>
      <c r="G219" s="24">
        <v>1083</v>
      </c>
      <c r="H219" s="24">
        <v>1701</v>
      </c>
      <c r="I219" s="24">
        <v>1083</v>
      </c>
      <c r="J219" s="24">
        <v>1344</v>
      </c>
      <c r="K219" s="25">
        <f t="shared" si="3"/>
        <v>261</v>
      </c>
    </row>
    <row r="220" spans="1:11" ht="15" customHeight="1" x14ac:dyDescent="0.25">
      <c r="A220" s="26">
        <v>42031</v>
      </c>
      <c r="B220" s="27" t="s">
        <v>243</v>
      </c>
      <c r="C220" s="27" t="s">
        <v>244</v>
      </c>
      <c r="D220" s="27" t="s">
        <v>245</v>
      </c>
      <c r="E220" s="27" t="s">
        <v>249</v>
      </c>
      <c r="F220" s="28">
        <v>2</v>
      </c>
      <c r="G220" s="29">
        <v>1252</v>
      </c>
      <c r="H220" s="29">
        <v>2295</v>
      </c>
      <c r="I220" s="29">
        <v>2504</v>
      </c>
      <c r="J220" s="29">
        <v>4498</v>
      </c>
      <c r="K220" s="30">
        <f t="shared" si="3"/>
        <v>1994</v>
      </c>
    </row>
    <row r="221" spans="1:11" ht="15" customHeight="1" x14ac:dyDescent="0.25">
      <c r="A221" s="21">
        <v>42031</v>
      </c>
      <c r="B221" s="22" t="s">
        <v>254</v>
      </c>
      <c r="C221" s="22" t="s">
        <v>255</v>
      </c>
      <c r="D221" s="22" t="s">
        <v>245</v>
      </c>
      <c r="E221" s="22" t="s">
        <v>246</v>
      </c>
      <c r="F221" s="23">
        <v>1</v>
      </c>
      <c r="G221" s="24">
        <v>1083</v>
      </c>
      <c r="H221" s="24">
        <v>1701</v>
      </c>
      <c r="I221" s="24">
        <v>1083</v>
      </c>
      <c r="J221" s="24">
        <v>1633</v>
      </c>
      <c r="K221" s="25">
        <f t="shared" si="3"/>
        <v>550</v>
      </c>
    </row>
    <row r="222" spans="1:11" ht="15" customHeight="1" x14ac:dyDescent="0.25">
      <c r="A222" s="26">
        <v>42032</v>
      </c>
      <c r="B222" s="27" t="s">
        <v>250</v>
      </c>
      <c r="C222" s="27" t="s">
        <v>251</v>
      </c>
      <c r="D222" s="27" t="s">
        <v>245</v>
      </c>
      <c r="E222" s="27" t="s">
        <v>249</v>
      </c>
      <c r="F222" s="28">
        <v>1</v>
      </c>
      <c r="G222" s="29">
        <v>1912</v>
      </c>
      <c r="H222" s="29">
        <v>3400</v>
      </c>
      <c r="I222" s="29">
        <v>1912</v>
      </c>
      <c r="J222" s="29">
        <v>2856</v>
      </c>
      <c r="K222" s="30">
        <f t="shared" si="3"/>
        <v>944</v>
      </c>
    </row>
    <row r="223" spans="1:11" ht="15" customHeight="1" x14ac:dyDescent="0.25">
      <c r="A223" s="21">
        <v>42032</v>
      </c>
      <c r="B223" s="22" t="s">
        <v>250</v>
      </c>
      <c r="C223" s="22" t="s">
        <v>251</v>
      </c>
      <c r="D223" s="22" t="s">
        <v>245</v>
      </c>
      <c r="E223" s="22" t="s">
        <v>249</v>
      </c>
      <c r="F223" s="23">
        <v>1</v>
      </c>
      <c r="G223" s="24">
        <v>1266</v>
      </c>
      <c r="H223" s="24">
        <v>2320</v>
      </c>
      <c r="I223" s="24">
        <v>1266</v>
      </c>
      <c r="J223" s="24">
        <v>1949</v>
      </c>
      <c r="K223" s="25">
        <f t="shared" si="3"/>
        <v>683</v>
      </c>
    </row>
    <row r="224" spans="1:11" ht="15" customHeight="1" x14ac:dyDescent="0.25">
      <c r="A224" s="26">
        <v>42032</v>
      </c>
      <c r="B224" s="27" t="s">
        <v>250</v>
      </c>
      <c r="C224" s="27" t="s">
        <v>251</v>
      </c>
      <c r="D224" s="27" t="s">
        <v>245</v>
      </c>
      <c r="E224" s="27" t="s">
        <v>246</v>
      </c>
      <c r="F224" s="28">
        <v>1</v>
      </c>
      <c r="G224" s="29">
        <v>1555</v>
      </c>
      <c r="H224" s="29">
        <v>2443</v>
      </c>
      <c r="I224" s="29">
        <v>1555</v>
      </c>
      <c r="J224" s="29">
        <v>1930</v>
      </c>
      <c r="K224" s="30">
        <f t="shared" si="3"/>
        <v>375</v>
      </c>
    </row>
    <row r="225" spans="1:11" ht="15" customHeight="1" x14ac:dyDescent="0.25">
      <c r="A225" s="21">
        <v>42032</v>
      </c>
      <c r="B225" s="22" t="s">
        <v>247</v>
      </c>
      <c r="C225" s="22" t="s">
        <v>248</v>
      </c>
      <c r="D225" s="22" t="s">
        <v>245</v>
      </c>
      <c r="E225" s="22" t="s">
        <v>246</v>
      </c>
      <c r="F225" s="23">
        <v>1</v>
      </c>
      <c r="G225" s="24">
        <v>2171</v>
      </c>
      <c r="H225" s="24">
        <v>3578</v>
      </c>
      <c r="I225" s="24">
        <v>2171</v>
      </c>
      <c r="J225" s="24">
        <v>3328</v>
      </c>
      <c r="K225" s="25">
        <f t="shared" si="3"/>
        <v>1157</v>
      </c>
    </row>
    <row r="226" spans="1:11" ht="15" customHeight="1" x14ac:dyDescent="0.25">
      <c r="A226" s="26">
        <v>42032</v>
      </c>
      <c r="B226" s="27" t="s">
        <v>243</v>
      </c>
      <c r="C226" s="27" t="s">
        <v>244</v>
      </c>
      <c r="D226" s="27" t="s">
        <v>245</v>
      </c>
      <c r="E226" s="27" t="s">
        <v>246</v>
      </c>
      <c r="F226" s="28">
        <v>1</v>
      </c>
      <c r="G226" s="29">
        <v>713</v>
      </c>
      <c r="H226" s="29">
        <v>1120</v>
      </c>
      <c r="I226" s="29">
        <v>713</v>
      </c>
      <c r="J226" s="29">
        <v>963</v>
      </c>
      <c r="K226" s="30">
        <f t="shared" si="3"/>
        <v>250</v>
      </c>
    </row>
    <row r="227" spans="1:11" ht="15" customHeight="1" x14ac:dyDescent="0.25">
      <c r="A227" s="21">
        <v>42033</v>
      </c>
      <c r="B227" s="22" t="s">
        <v>243</v>
      </c>
      <c r="C227" s="22" t="s">
        <v>244</v>
      </c>
      <c r="D227" s="22" t="s">
        <v>245</v>
      </c>
      <c r="E227" s="22" t="s">
        <v>246</v>
      </c>
      <c r="F227" s="23">
        <v>1</v>
      </c>
      <c r="G227" s="24">
        <v>2171</v>
      </c>
      <c r="H227" s="24">
        <v>3578</v>
      </c>
      <c r="I227" s="24">
        <v>2171</v>
      </c>
      <c r="J227" s="24">
        <v>2791</v>
      </c>
      <c r="K227" s="25">
        <f t="shared" si="3"/>
        <v>620</v>
      </c>
    </row>
    <row r="228" spans="1:11" ht="15" customHeight="1" x14ac:dyDescent="0.25">
      <c r="A228" s="26">
        <v>42033</v>
      </c>
      <c r="B228" s="27" t="s">
        <v>254</v>
      </c>
      <c r="C228" s="27" t="s">
        <v>255</v>
      </c>
      <c r="D228" s="27" t="s">
        <v>245</v>
      </c>
      <c r="E228" s="27" t="s">
        <v>246</v>
      </c>
      <c r="F228" s="28">
        <v>3</v>
      </c>
      <c r="G228" s="29">
        <v>1083</v>
      </c>
      <c r="H228" s="29">
        <v>1701</v>
      </c>
      <c r="I228" s="29">
        <v>3249</v>
      </c>
      <c r="J228" s="29">
        <v>4899</v>
      </c>
      <c r="K228" s="30">
        <f t="shared" si="3"/>
        <v>1650</v>
      </c>
    </row>
    <row r="229" spans="1:11" ht="15" customHeight="1" x14ac:dyDescent="0.25">
      <c r="A229" s="21">
        <v>42033</v>
      </c>
      <c r="B229" s="22" t="s">
        <v>254</v>
      </c>
      <c r="C229" s="22" t="s">
        <v>255</v>
      </c>
      <c r="D229" s="22" t="s">
        <v>245</v>
      </c>
      <c r="E229" s="22" t="s">
        <v>246</v>
      </c>
      <c r="F229" s="23">
        <v>1</v>
      </c>
      <c r="G229" s="24">
        <v>344</v>
      </c>
      <c r="H229" s="24">
        <v>540</v>
      </c>
      <c r="I229" s="24">
        <v>344</v>
      </c>
      <c r="J229" s="24">
        <v>518</v>
      </c>
      <c r="K229" s="25">
        <f t="shared" si="3"/>
        <v>174</v>
      </c>
    </row>
    <row r="230" spans="1:11" ht="15" customHeight="1" x14ac:dyDescent="0.25">
      <c r="A230" s="26">
        <v>42033</v>
      </c>
      <c r="B230" s="27" t="s">
        <v>247</v>
      </c>
      <c r="C230" s="27" t="s">
        <v>248</v>
      </c>
      <c r="D230" s="27" t="s">
        <v>245</v>
      </c>
      <c r="E230" s="27" t="s">
        <v>246</v>
      </c>
      <c r="F230" s="28">
        <v>1</v>
      </c>
      <c r="G230" s="29">
        <v>713</v>
      </c>
      <c r="H230" s="29">
        <v>1120</v>
      </c>
      <c r="I230" s="29">
        <v>713</v>
      </c>
      <c r="J230" s="29">
        <v>974</v>
      </c>
      <c r="K230" s="30">
        <f t="shared" si="3"/>
        <v>261</v>
      </c>
    </row>
    <row r="231" spans="1:11" ht="15" customHeight="1" x14ac:dyDescent="0.25">
      <c r="A231" s="21">
        <v>42033</v>
      </c>
      <c r="B231" s="22" t="s">
        <v>250</v>
      </c>
      <c r="C231" s="22" t="s">
        <v>251</v>
      </c>
      <c r="D231" s="22" t="s">
        <v>245</v>
      </c>
      <c r="E231" s="22" t="s">
        <v>246</v>
      </c>
      <c r="F231" s="23">
        <v>2</v>
      </c>
      <c r="G231" s="24">
        <v>1555</v>
      </c>
      <c r="H231" s="24">
        <v>2443</v>
      </c>
      <c r="I231" s="24">
        <v>3110</v>
      </c>
      <c r="J231" s="24">
        <v>4251</v>
      </c>
      <c r="K231" s="25">
        <f t="shared" si="3"/>
        <v>1141</v>
      </c>
    </row>
    <row r="232" spans="1:11" ht="15" customHeight="1" x14ac:dyDescent="0.25">
      <c r="A232" s="26">
        <v>42033</v>
      </c>
      <c r="B232" s="27" t="s">
        <v>250</v>
      </c>
      <c r="C232" s="27" t="s">
        <v>251</v>
      </c>
      <c r="D232" s="27" t="s">
        <v>245</v>
      </c>
      <c r="E232" s="27" t="s">
        <v>246</v>
      </c>
      <c r="F232" s="28">
        <v>2</v>
      </c>
      <c r="G232" s="29">
        <v>1555</v>
      </c>
      <c r="H232" s="29">
        <v>2443</v>
      </c>
      <c r="I232" s="29">
        <v>3110</v>
      </c>
      <c r="J232" s="29">
        <v>3860</v>
      </c>
      <c r="K232" s="30">
        <f t="shared" si="3"/>
        <v>750</v>
      </c>
    </row>
    <row r="233" spans="1:11" ht="15" customHeight="1" x14ac:dyDescent="0.25">
      <c r="A233" s="21">
        <v>42033</v>
      </c>
      <c r="B233" s="22" t="s">
        <v>254</v>
      </c>
      <c r="C233" s="22" t="s">
        <v>255</v>
      </c>
      <c r="D233" s="22" t="s">
        <v>245</v>
      </c>
      <c r="E233" s="22" t="s">
        <v>246</v>
      </c>
      <c r="F233" s="23">
        <v>3</v>
      </c>
      <c r="G233" s="24">
        <v>713</v>
      </c>
      <c r="H233" s="24">
        <v>1120</v>
      </c>
      <c r="I233" s="24">
        <v>2139</v>
      </c>
      <c r="J233" s="24">
        <v>3226</v>
      </c>
      <c r="K233" s="25">
        <f t="shared" si="3"/>
        <v>1087</v>
      </c>
    </row>
    <row r="234" spans="1:11" ht="15" customHeight="1" x14ac:dyDescent="0.25">
      <c r="A234" s="26">
        <v>42033</v>
      </c>
      <c r="B234" s="27" t="s">
        <v>250</v>
      </c>
      <c r="C234" s="27" t="s">
        <v>251</v>
      </c>
      <c r="D234" s="27" t="s">
        <v>245</v>
      </c>
      <c r="E234" s="27" t="s">
        <v>246</v>
      </c>
      <c r="F234" s="28">
        <v>1</v>
      </c>
      <c r="G234" s="29">
        <v>1083</v>
      </c>
      <c r="H234" s="29">
        <v>1701</v>
      </c>
      <c r="I234" s="29">
        <v>1083</v>
      </c>
      <c r="J234" s="29">
        <v>1429</v>
      </c>
      <c r="K234" s="30">
        <f t="shared" si="3"/>
        <v>346</v>
      </c>
    </row>
    <row r="235" spans="1:11" ht="15" customHeight="1" x14ac:dyDescent="0.25">
      <c r="A235" s="21">
        <v>42034</v>
      </c>
      <c r="B235" s="22" t="s">
        <v>250</v>
      </c>
      <c r="C235" s="22" t="s">
        <v>251</v>
      </c>
      <c r="D235" s="22" t="s">
        <v>245</v>
      </c>
      <c r="E235" s="22" t="s">
        <v>246</v>
      </c>
      <c r="F235" s="23">
        <v>1</v>
      </c>
      <c r="G235" s="24">
        <v>344</v>
      </c>
      <c r="H235" s="24">
        <v>540</v>
      </c>
      <c r="I235" s="24">
        <v>344</v>
      </c>
      <c r="J235" s="24">
        <v>470</v>
      </c>
      <c r="K235" s="25">
        <f t="shared" si="3"/>
        <v>126</v>
      </c>
    </row>
    <row r="236" spans="1:11" ht="15" customHeight="1" x14ac:dyDescent="0.25">
      <c r="A236" s="26">
        <v>42034</v>
      </c>
      <c r="B236" s="27" t="s">
        <v>243</v>
      </c>
      <c r="C236" s="27" t="s">
        <v>244</v>
      </c>
      <c r="D236" s="27" t="s">
        <v>245</v>
      </c>
      <c r="E236" s="27" t="s">
        <v>246</v>
      </c>
      <c r="F236" s="28">
        <v>1</v>
      </c>
      <c r="G236" s="29">
        <v>713</v>
      </c>
      <c r="H236" s="29">
        <v>1120</v>
      </c>
      <c r="I236" s="29">
        <v>713</v>
      </c>
      <c r="J236" s="29">
        <v>1098</v>
      </c>
      <c r="K236" s="30">
        <f t="shared" si="3"/>
        <v>385</v>
      </c>
    </row>
    <row r="237" spans="1:11" ht="15" customHeight="1" x14ac:dyDescent="0.25">
      <c r="A237" s="21">
        <v>42034</v>
      </c>
      <c r="B237" s="22" t="s">
        <v>250</v>
      </c>
      <c r="C237" s="22" t="s">
        <v>251</v>
      </c>
      <c r="D237" s="22" t="s">
        <v>245</v>
      </c>
      <c r="E237" s="22" t="s">
        <v>249</v>
      </c>
      <c r="F237" s="23">
        <v>2</v>
      </c>
      <c r="G237" s="24">
        <v>1266</v>
      </c>
      <c r="H237" s="24">
        <v>2320</v>
      </c>
      <c r="I237" s="24">
        <v>2532</v>
      </c>
      <c r="J237" s="24">
        <v>3898</v>
      </c>
      <c r="K237" s="25">
        <f t="shared" si="3"/>
        <v>1366</v>
      </c>
    </row>
    <row r="238" spans="1:11" ht="15" customHeight="1" x14ac:dyDescent="0.25">
      <c r="A238" s="26">
        <v>42034</v>
      </c>
      <c r="B238" s="27" t="s">
        <v>252</v>
      </c>
      <c r="C238" s="27" t="s">
        <v>253</v>
      </c>
      <c r="D238" s="27" t="s">
        <v>245</v>
      </c>
      <c r="E238" s="27" t="s">
        <v>246</v>
      </c>
      <c r="F238" s="28">
        <v>2</v>
      </c>
      <c r="G238" s="29">
        <v>344</v>
      </c>
      <c r="H238" s="29">
        <v>540</v>
      </c>
      <c r="I238" s="29">
        <v>688</v>
      </c>
      <c r="J238" s="29">
        <v>961</v>
      </c>
      <c r="K238" s="30">
        <f t="shared" si="3"/>
        <v>273</v>
      </c>
    </row>
    <row r="239" spans="1:11" ht="15" customHeight="1" x14ac:dyDescent="0.25">
      <c r="A239" s="21">
        <v>42034</v>
      </c>
      <c r="B239" s="22" t="s">
        <v>250</v>
      </c>
      <c r="C239" s="22" t="s">
        <v>251</v>
      </c>
      <c r="D239" s="22" t="s">
        <v>245</v>
      </c>
      <c r="E239" s="22" t="s">
        <v>246</v>
      </c>
      <c r="F239" s="23">
        <v>2</v>
      </c>
      <c r="G239" s="24">
        <v>1555</v>
      </c>
      <c r="H239" s="24">
        <v>2443</v>
      </c>
      <c r="I239" s="24">
        <v>3110</v>
      </c>
      <c r="J239" s="24">
        <v>4251</v>
      </c>
      <c r="K239" s="25">
        <f t="shared" si="3"/>
        <v>1141</v>
      </c>
    </row>
    <row r="240" spans="1:11" ht="15" customHeight="1" x14ac:dyDescent="0.25">
      <c r="A240" s="26">
        <v>42034</v>
      </c>
      <c r="B240" s="27" t="s">
        <v>247</v>
      </c>
      <c r="C240" s="27" t="s">
        <v>248</v>
      </c>
      <c r="D240" s="27" t="s">
        <v>245</v>
      </c>
      <c r="E240" s="27" t="s">
        <v>246</v>
      </c>
      <c r="F240" s="28">
        <v>2</v>
      </c>
      <c r="G240" s="29">
        <v>2171</v>
      </c>
      <c r="H240" s="29">
        <v>3578</v>
      </c>
      <c r="I240" s="29">
        <v>4342</v>
      </c>
      <c r="J240" s="29">
        <v>6655</v>
      </c>
      <c r="K240" s="30">
        <f t="shared" si="3"/>
        <v>2313</v>
      </c>
    </row>
    <row r="241" spans="1:11" ht="15" customHeight="1" x14ac:dyDescent="0.25">
      <c r="A241" s="21">
        <v>42035</v>
      </c>
      <c r="B241" s="22" t="s">
        <v>256</v>
      </c>
      <c r="C241" s="22" t="s">
        <v>257</v>
      </c>
      <c r="D241" s="22" t="s">
        <v>245</v>
      </c>
      <c r="E241" s="22" t="s">
        <v>249</v>
      </c>
      <c r="F241" s="23">
        <v>1</v>
      </c>
      <c r="G241" s="24">
        <v>1266</v>
      </c>
      <c r="H241" s="24">
        <v>2320</v>
      </c>
      <c r="I241" s="24">
        <v>1266</v>
      </c>
      <c r="J241" s="24">
        <v>2297</v>
      </c>
      <c r="K241" s="25">
        <f t="shared" si="3"/>
        <v>1031</v>
      </c>
    </row>
    <row r="242" spans="1:11" ht="15" customHeight="1" x14ac:dyDescent="0.25">
      <c r="A242" s="26">
        <v>42035</v>
      </c>
      <c r="B242" s="27" t="s">
        <v>252</v>
      </c>
      <c r="C242" s="27" t="s">
        <v>253</v>
      </c>
      <c r="D242" s="27" t="s">
        <v>245</v>
      </c>
      <c r="E242" s="27" t="s">
        <v>249</v>
      </c>
      <c r="F242" s="28">
        <v>3</v>
      </c>
      <c r="G242" s="29">
        <v>1266</v>
      </c>
      <c r="H242" s="29">
        <v>2320</v>
      </c>
      <c r="I242" s="29">
        <v>3798</v>
      </c>
      <c r="J242" s="29">
        <v>5707</v>
      </c>
      <c r="K242" s="30">
        <f t="shared" si="3"/>
        <v>1909</v>
      </c>
    </row>
    <row r="243" spans="1:11" ht="15" customHeight="1" x14ac:dyDescent="0.25">
      <c r="A243" s="21">
        <v>42035</v>
      </c>
      <c r="B243" s="22" t="s">
        <v>250</v>
      </c>
      <c r="C243" s="22" t="s">
        <v>251</v>
      </c>
      <c r="D243" s="22" t="s">
        <v>245</v>
      </c>
      <c r="E243" s="22" t="s">
        <v>246</v>
      </c>
      <c r="F243" s="23">
        <v>1</v>
      </c>
      <c r="G243" s="24">
        <v>713</v>
      </c>
      <c r="H243" s="24">
        <v>1120</v>
      </c>
      <c r="I243" s="24">
        <v>713</v>
      </c>
      <c r="J243" s="24">
        <v>885</v>
      </c>
      <c r="K243" s="25">
        <f t="shared" si="3"/>
        <v>172</v>
      </c>
    </row>
    <row r="244" spans="1:11" ht="15" customHeight="1" x14ac:dyDescent="0.25">
      <c r="A244" s="26">
        <v>42035</v>
      </c>
      <c r="B244" s="27" t="s">
        <v>243</v>
      </c>
      <c r="C244" s="27" t="s">
        <v>244</v>
      </c>
      <c r="D244" s="27" t="s">
        <v>245</v>
      </c>
      <c r="E244" s="27" t="s">
        <v>249</v>
      </c>
      <c r="F244" s="28">
        <v>1</v>
      </c>
      <c r="G244" s="29">
        <v>1266</v>
      </c>
      <c r="H244" s="29">
        <v>2320</v>
      </c>
      <c r="I244" s="29">
        <v>1266</v>
      </c>
      <c r="J244" s="29">
        <v>2274</v>
      </c>
      <c r="K244" s="30">
        <f t="shared" si="3"/>
        <v>1008</v>
      </c>
    </row>
    <row r="245" spans="1:11" ht="15" customHeight="1" x14ac:dyDescent="0.25">
      <c r="A245" s="21">
        <v>42035</v>
      </c>
      <c r="B245" s="22" t="s">
        <v>256</v>
      </c>
      <c r="C245" s="22" t="s">
        <v>257</v>
      </c>
      <c r="D245" s="22" t="s">
        <v>245</v>
      </c>
      <c r="E245" s="22" t="s">
        <v>249</v>
      </c>
      <c r="F245" s="23">
        <v>1</v>
      </c>
      <c r="G245" s="24">
        <v>295</v>
      </c>
      <c r="H245" s="24">
        <v>540</v>
      </c>
      <c r="I245" s="24">
        <v>295</v>
      </c>
      <c r="J245" s="24">
        <v>535</v>
      </c>
      <c r="K245" s="25">
        <f t="shared" si="3"/>
        <v>240</v>
      </c>
    </row>
    <row r="246" spans="1:11" ht="15" customHeight="1" x14ac:dyDescent="0.25">
      <c r="A246" s="26">
        <v>42035</v>
      </c>
      <c r="B246" s="27" t="s">
        <v>250</v>
      </c>
      <c r="C246" s="27" t="s">
        <v>251</v>
      </c>
      <c r="D246" s="27" t="s">
        <v>245</v>
      </c>
      <c r="E246" s="27" t="s">
        <v>246</v>
      </c>
      <c r="F246" s="28">
        <v>1</v>
      </c>
      <c r="G246" s="29">
        <v>344</v>
      </c>
      <c r="H246" s="29">
        <v>540</v>
      </c>
      <c r="I246" s="29">
        <v>344</v>
      </c>
      <c r="J246" s="29">
        <v>427</v>
      </c>
      <c r="K246" s="30">
        <f t="shared" si="3"/>
        <v>83</v>
      </c>
    </row>
    <row r="247" spans="1:11" ht="15" customHeight="1" x14ac:dyDescent="0.25">
      <c r="A247" s="21">
        <v>42035</v>
      </c>
      <c r="B247" s="22" t="s">
        <v>252</v>
      </c>
      <c r="C247" s="22" t="s">
        <v>253</v>
      </c>
      <c r="D247" s="22" t="s">
        <v>245</v>
      </c>
      <c r="E247" s="22" t="s">
        <v>246</v>
      </c>
      <c r="F247" s="23">
        <v>1</v>
      </c>
      <c r="G247" s="24">
        <v>1519</v>
      </c>
      <c r="H247" s="24">
        <v>2443</v>
      </c>
      <c r="I247" s="24">
        <v>1519</v>
      </c>
      <c r="J247" s="24">
        <v>2345</v>
      </c>
      <c r="K247" s="25">
        <f t="shared" si="3"/>
        <v>826</v>
      </c>
    </row>
    <row r="248" spans="1:11" ht="15" customHeight="1" x14ac:dyDescent="0.25">
      <c r="A248" s="26">
        <v>42035</v>
      </c>
      <c r="B248" s="27" t="s">
        <v>243</v>
      </c>
      <c r="C248" s="27" t="s">
        <v>244</v>
      </c>
      <c r="D248" s="27" t="s">
        <v>245</v>
      </c>
      <c r="E248" s="27" t="s">
        <v>246</v>
      </c>
      <c r="F248" s="28">
        <v>1</v>
      </c>
      <c r="G248" s="29">
        <v>2171</v>
      </c>
      <c r="H248" s="29">
        <v>3578</v>
      </c>
      <c r="I248" s="29">
        <v>2171</v>
      </c>
      <c r="J248" s="29">
        <v>2791</v>
      </c>
      <c r="K248" s="30">
        <f t="shared" si="3"/>
        <v>620</v>
      </c>
    </row>
    <row r="249" spans="1:11" ht="15" customHeight="1" x14ac:dyDescent="0.25">
      <c r="A249" s="21">
        <v>42036</v>
      </c>
      <c r="B249" s="22" t="s">
        <v>243</v>
      </c>
      <c r="C249" s="22" t="s">
        <v>244</v>
      </c>
      <c r="D249" s="22" t="s">
        <v>245</v>
      </c>
      <c r="E249" s="22" t="s">
        <v>249</v>
      </c>
      <c r="F249" s="23">
        <v>1</v>
      </c>
      <c r="G249" s="24">
        <v>1266</v>
      </c>
      <c r="H249" s="24">
        <v>2320</v>
      </c>
      <c r="I249" s="24">
        <v>1266</v>
      </c>
      <c r="J249" s="24">
        <v>2274</v>
      </c>
      <c r="K249" s="25">
        <f t="shared" si="3"/>
        <v>1008</v>
      </c>
    </row>
    <row r="250" spans="1:11" ht="15" customHeight="1" x14ac:dyDescent="0.25">
      <c r="A250" s="26">
        <v>42036</v>
      </c>
      <c r="B250" s="27" t="s">
        <v>243</v>
      </c>
      <c r="C250" s="27" t="s">
        <v>244</v>
      </c>
      <c r="D250" s="27" t="s">
        <v>245</v>
      </c>
      <c r="E250" s="27" t="s">
        <v>249</v>
      </c>
      <c r="F250" s="28">
        <v>1</v>
      </c>
      <c r="G250" s="29">
        <v>1252</v>
      </c>
      <c r="H250" s="29">
        <v>2295</v>
      </c>
      <c r="I250" s="29">
        <v>1252</v>
      </c>
      <c r="J250" s="29">
        <v>1790</v>
      </c>
      <c r="K250" s="30">
        <f t="shared" si="3"/>
        <v>538</v>
      </c>
    </row>
    <row r="251" spans="1:11" ht="15" customHeight="1" x14ac:dyDescent="0.25">
      <c r="A251" s="21">
        <v>42036</v>
      </c>
      <c r="B251" s="22" t="s">
        <v>243</v>
      </c>
      <c r="C251" s="22" t="s">
        <v>244</v>
      </c>
      <c r="D251" s="22" t="s">
        <v>245</v>
      </c>
      <c r="E251" s="22" t="s">
        <v>246</v>
      </c>
      <c r="F251" s="23">
        <v>1</v>
      </c>
      <c r="G251" s="24">
        <v>2171</v>
      </c>
      <c r="H251" s="24">
        <v>3578</v>
      </c>
      <c r="I251" s="24">
        <v>2171</v>
      </c>
      <c r="J251" s="24">
        <v>2791</v>
      </c>
      <c r="K251" s="25">
        <f t="shared" si="3"/>
        <v>620</v>
      </c>
    </row>
    <row r="252" spans="1:11" ht="15" customHeight="1" x14ac:dyDescent="0.25">
      <c r="A252" s="26">
        <v>42036</v>
      </c>
      <c r="B252" s="27" t="s">
        <v>250</v>
      </c>
      <c r="C252" s="27" t="s">
        <v>251</v>
      </c>
      <c r="D252" s="27" t="s">
        <v>245</v>
      </c>
      <c r="E252" s="27" t="s">
        <v>249</v>
      </c>
      <c r="F252" s="28">
        <v>1</v>
      </c>
      <c r="G252" s="29">
        <v>1266</v>
      </c>
      <c r="H252" s="29">
        <v>2320</v>
      </c>
      <c r="I252" s="29">
        <v>1266</v>
      </c>
      <c r="J252" s="29">
        <v>1949</v>
      </c>
      <c r="K252" s="30">
        <f t="shared" si="3"/>
        <v>683</v>
      </c>
    </row>
    <row r="253" spans="1:11" ht="15" customHeight="1" x14ac:dyDescent="0.25">
      <c r="A253" s="21">
        <v>42036</v>
      </c>
      <c r="B253" s="22" t="s">
        <v>243</v>
      </c>
      <c r="C253" s="22" t="s">
        <v>244</v>
      </c>
      <c r="D253" s="22" t="s">
        <v>245</v>
      </c>
      <c r="E253" s="22" t="s">
        <v>246</v>
      </c>
      <c r="F253" s="23">
        <v>1</v>
      </c>
      <c r="G253" s="24">
        <v>344</v>
      </c>
      <c r="H253" s="24">
        <v>540</v>
      </c>
      <c r="I253" s="24">
        <v>344</v>
      </c>
      <c r="J253" s="24">
        <v>529</v>
      </c>
      <c r="K253" s="25">
        <f t="shared" si="3"/>
        <v>185</v>
      </c>
    </row>
    <row r="254" spans="1:11" ht="15" customHeight="1" x14ac:dyDescent="0.25">
      <c r="A254" s="26">
        <v>42036</v>
      </c>
      <c r="B254" s="27" t="s">
        <v>243</v>
      </c>
      <c r="C254" s="27" t="s">
        <v>244</v>
      </c>
      <c r="D254" s="27" t="s">
        <v>245</v>
      </c>
      <c r="E254" s="27" t="s">
        <v>246</v>
      </c>
      <c r="F254" s="28">
        <v>2</v>
      </c>
      <c r="G254" s="29">
        <v>2171</v>
      </c>
      <c r="H254" s="29">
        <v>3578</v>
      </c>
      <c r="I254" s="29">
        <v>4342</v>
      </c>
      <c r="J254" s="29">
        <v>7013</v>
      </c>
      <c r="K254" s="30">
        <f t="shared" si="3"/>
        <v>2671</v>
      </c>
    </row>
    <row r="255" spans="1:11" ht="15" customHeight="1" x14ac:dyDescent="0.25">
      <c r="A255" s="21">
        <v>42036</v>
      </c>
      <c r="B255" s="22" t="s">
        <v>243</v>
      </c>
      <c r="C255" s="22" t="s">
        <v>244</v>
      </c>
      <c r="D255" s="22" t="s">
        <v>245</v>
      </c>
      <c r="E255" s="22" t="s">
        <v>246</v>
      </c>
      <c r="F255" s="23">
        <v>1</v>
      </c>
      <c r="G255" s="24">
        <v>2171</v>
      </c>
      <c r="H255" s="24">
        <v>3578</v>
      </c>
      <c r="I255" s="24">
        <v>2171</v>
      </c>
      <c r="J255" s="24">
        <v>2791</v>
      </c>
      <c r="K255" s="25">
        <f t="shared" si="3"/>
        <v>620</v>
      </c>
    </row>
    <row r="256" spans="1:11" ht="15" customHeight="1" x14ac:dyDescent="0.25">
      <c r="A256" s="26">
        <v>42036</v>
      </c>
      <c r="B256" s="27" t="s">
        <v>250</v>
      </c>
      <c r="C256" s="27" t="s">
        <v>251</v>
      </c>
      <c r="D256" s="27" t="s">
        <v>245</v>
      </c>
      <c r="E256" s="27" t="s">
        <v>246</v>
      </c>
      <c r="F256" s="28">
        <v>1</v>
      </c>
      <c r="G256" s="29">
        <v>1083</v>
      </c>
      <c r="H256" s="29">
        <v>1701</v>
      </c>
      <c r="I256" s="29">
        <v>1083</v>
      </c>
      <c r="J256" s="29">
        <v>1429</v>
      </c>
      <c r="K256" s="30">
        <f t="shared" si="3"/>
        <v>346</v>
      </c>
    </row>
    <row r="257" spans="1:11" ht="15" customHeight="1" x14ac:dyDescent="0.25">
      <c r="A257" s="21">
        <v>42036</v>
      </c>
      <c r="B257" s="22" t="s">
        <v>250</v>
      </c>
      <c r="C257" s="22" t="s">
        <v>251</v>
      </c>
      <c r="D257" s="22" t="s">
        <v>245</v>
      </c>
      <c r="E257" s="22" t="s">
        <v>246</v>
      </c>
      <c r="F257" s="23">
        <v>1</v>
      </c>
      <c r="G257" s="24">
        <v>1555</v>
      </c>
      <c r="H257" s="24">
        <v>2443</v>
      </c>
      <c r="I257" s="24">
        <v>1555</v>
      </c>
      <c r="J257" s="24">
        <v>2052</v>
      </c>
      <c r="K257" s="25">
        <f t="shared" si="3"/>
        <v>497</v>
      </c>
    </row>
    <row r="258" spans="1:11" ht="15" customHeight="1" x14ac:dyDescent="0.25">
      <c r="A258" s="26">
        <v>42036</v>
      </c>
      <c r="B258" s="27" t="s">
        <v>250</v>
      </c>
      <c r="C258" s="27" t="s">
        <v>251</v>
      </c>
      <c r="D258" s="27" t="s">
        <v>245</v>
      </c>
      <c r="E258" s="27" t="s">
        <v>249</v>
      </c>
      <c r="F258" s="28">
        <v>1</v>
      </c>
      <c r="G258" s="29">
        <v>308</v>
      </c>
      <c r="H258" s="29">
        <v>565</v>
      </c>
      <c r="I258" s="29">
        <v>308</v>
      </c>
      <c r="J258" s="29">
        <v>492</v>
      </c>
      <c r="K258" s="30">
        <f t="shared" si="3"/>
        <v>184</v>
      </c>
    </row>
    <row r="259" spans="1:11" ht="15" customHeight="1" x14ac:dyDescent="0.25">
      <c r="A259" s="21">
        <v>42037</v>
      </c>
      <c r="B259" s="22" t="s">
        <v>254</v>
      </c>
      <c r="C259" s="22" t="s">
        <v>255</v>
      </c>
      <c r="D259" s="22" t="s">
        <v>245</v>
      </c>
      <c r="E259" s="22" t="s">
        <v>246</v>
      </c>
      <c r="F259" s="23">
        <v>1</v>
      </c>
      <c r="G259" s="24">
        <v>487</v>
      </c>
      <c r="H259" s="24">
        <v>783</v>
      </c>
      <c r="I259" s="24">
        <v>487</v>
      </c>
      <c r="J259" s="24">
        <v>752</v>
      </c>
      <c r="K259" s="25">
        <f t="shared" si="3"/>
        <v>265</v>
      </c>
    </row>
    <row r="260" spans="1:11" ht="15" customHeight="1" x14ac:dyDescent="0.25">
      <c r="A260" s="26">
        <v>42037</v>
      </c>
      <c r="B260" s="27" t="s">
        <v>247</v>
      </c>
      <c r="C260" s="27" t="s">
        <v>248</v>
      </c>
      <c r="D260" s="27" t="s">
        <v>245</v>
      </c>
      <c r="E260" s="27" t="s">
        <v>246</v>
      </c>
      <c r="F260" s="28">
        <v>1</v>
      </c>
      <c r="G260" s="29">
        <v>1083</v>
      </c>
      <c r="H260" s="29">
        <v>1701</v>
      </c>
      <c r="I260" s="29">
        <v>1083</v>
      </c>
      <c r="J260" s="29">
        <v>1480</v>
      </c>
      <c r="K260" s="30">
        <f t="shared" si="3"/>
        <v>397</v>
      </c>
    </row>
    <row r="261" spans="1:11" ht="15" customHeight="1" x14ac:dyDescent="0.25">
      <c r="A261" s="21">
        <v>42037</v>
      </c>
      <c r="B261" s="22" t="s">
        <v>250</v>
      </c>
      <c r="C261" s="22" t="s">
        <v>251</v>
      </c>
      <c r="D261" s="22" t="s">
        <v>245</v>
      </c>
      <c r="E261" s="22" t="s">
        <v>246</v>
      </c>
      <c r="F261" s="23">
        <v>1</v>
      </c>
      <c r="G261" s="24">
        <v>1555</v>
      </c>
      <c r="H261" s="24">
        <v>2443</v>
      </c>
      <c r="I261" s="24">
        <v>1555</v>
      </c>
      <c r="J261" s="24">
        <v>2125</v>
      </c>
      <c r="K261" s="25">
        <f t="shared" ref="K261:K304" si="4">J261-I261</f>
        <v>570</v>
      </c>
    </row>
    <row r="262" spans="1:11" ht="15" customHeight="1" x14ac:dyDescent="0.25">
      <c r="A262" s="26">
        <v>42037</v>
      </c>
      <c r="B262" s="27" t="s">
        <v>247</v>
      </c>
      <c r="C262" s="27" t="s">
        <v>248</v>
      </c>
      <c r="D262" s="27" t="s">
        <v>245</v>
      </c>
      <c r="E262" s="27" t="s">
        <v>246</v>
      </c>
      <c r="F262" s="28">
        <v>3</v>
      </c>
      <c r="G262" s="29">
        <v>1519</v>
      </c>
      <c r="H262" s="29">
        <v>2443</v>
      </c>
      <c r="I262" s="29">
        <v>4557</v>
      </c>
      <c r="J262" s="29">
        <v>6376</v>
      </c>
      <c r="K262" s="30">
        <f t="shared" si="4"/>
        <v>1819</v>
      </c>
    </row>
    <row r="263" spans="1:11" ht="15" customHeight="1" x14ac:dyDescent="0.25">
      <c r="A263" s="21">
        <v>42037</v>
      </c>
      <c r="B263" s="22" t="s">
        <v>250</v>
      </c>
      <c r="C263" s="22" t="s">
        <v>251</v>
      </c>
      <c r="D263" s="22" t="s">
        <v>245</v>
      </c>
      <c r="E263" s="22" t="s">
        <v>246</v>
      </c>
      <c r="F263" s="23">
        <v>3</v>
      </c>
      <c r="G263" s="24">
        <v>1083</v>
      </c>
      <c r="H263" s="24">
        <v>1701</v>
      </c>
      <c r="I263" s="24">
        <v>3249</v>
      </c>
      <c r="J263" s="24">
        <v>4133</v>
      </c>
      <c r="K263" s="25">
        <f t="shared" si="4"/>
        <v>884</v>
      </c>
    </row>
    <row r="264" spans="1:11" ht="15" customHeight="1" x14ac:dyDescent="0.25">
      <c r="A264" s="26">
        <v>42037</v>
      </c>
      <c r="B264" s="27" t="s">
        <v>243</v>
      </c>
      <c r="C264" s="27" t="s">
        <v>244</v>
      </c>
      <c r="D264" s="27" t="s">
        <v>245</v>
      </c>
      <c r="E264" s="27" t="s">
        <v>246</v>
      </c>
      <c r="F264" s="28">
        <v>2</v>
      </c>
      <c r="G264" s="29">
        <v>344</v>
      </c>
      <c r="H264" s="29">
        <v>540</v>
      </c>
      <c r="I264" s="29">
        <v>688</v>
      </c>
      <c r="J264" s="29">
        <v>1058</v>
      </c>
      <c r="K264" s="30">
        <f t="shared" si="4"/>
        <v>370</v>
      </c>
    </row>
    <row r="265" spans="1:11" ht="15" customHeight="1" x14ac:dyDescent="0.25">
      <c r="A265" s="21">
        <v>42037</v>
      </c>
      <c r="B265" s="22" t="s">
        <v>250</v>
      </c>
      <c r="C265" s="22" t="s">
        <v>251</v>
      </c>
      <c r="D265" s="22" t="s">
        <v>245</v>
      </c>
      <c r="E265" s="22" t="s">
        <v>249</v>
      </c>
      <c r="F265" s="23">
        <v>1</v>
      </c>
      <c r="G265" s="24">
        <v>1252</v>
      </c>
      <c r="H265" s="24">
        <v>2295</v>
      </c>
      <c r="I265" s="24">
        <v>1252</v>
      </c>
      <c r="J265" s="24">
        <v>1882</v>
      </c>
      <c r="K265" s="25">
        <f t="shared" si="4"/>
        <v>630</v>
      </c>
    </row>
    <row r="266" spans="1:11" ht="15" customHeight="1" x14ac:dyDescent="0.25">
      <c r="A266" s="26">
        <v>42037</v>
      </c>
      <c r="B266" s="27" t="s">
        <v>250</v>
      </c>
      <c r="C266" s="27" t="s">
        <v>251</v>
      </c>
      <c r="D266" s="27" t="s">
        <v>245</v>
      </c>
      <c r="E266" s="27" t="s">
        <v>249</v>
      </c>
      <c r="F266" s="28">
        <v>1</v>
      </c>
      <c r="G266" s="29">
        <v>1266</v>
      </c>
      <c r="H266" s="29">
        <v>2320</v>
      </c>
      <c r="I266" s="29">
        <v>1266</v>
      </c>
      <c r="J266" s="29">
        <v>2018</v>
      </c>
      <c r="K266" s="30">
        <f t="shared" si="4"/>
        <v>752</v>
      </c>
    </row>
    <row r="267" spans="1:11" ht="15" customHeight="1" x14ac:dyDescent="0.25">
      <c r="A267" s="21">
        <v>42037</v>
      </c>
      <c r="B267" s="22" t="s">
        <v>250</v>
      </c>
      <c r="C267" s="22" t="s">
        <v>251</v>
      </c>
      <c r="D267" s="22" t="s">
        <v>245</v>
      </c>
      <c r="E267" s="22" t="s">
        <v>246</v>
      </c>
      <c r="F267" s="23">
        <v>1</v>
      </c>
      <c r="G267" s="24">
        <v>2171</v>
      </c>
      <c r="H267" s="24">
        <v>3578</v>
      </c>
      <c r="I267" s="24">
        <v>2171</v>
      </c>
      <c r="J267" s="24">
        <v>3113</v>
      </c>
      <c r="K267" s="25">
        <f t="shared" si="4"/>
        <v>942</v>
      </c>
    </row>
    <row r="268" spans="1:11" ht="15" customHeight="1" x14ac:dyDescent="0.25">
      <c r="A268" s="26">
        <v>42037</v>
      </c>
      <c r="B268" s="27" t="s">
        <v>243</v>
      </c>
      <c r="C268" s="27" t="s">
        <v>244</v>
      </c>
      <c r="D268" s="27" t="s">
        <v>245</v>
      </c>
      <c r="E268" s="27" t="s">
        <v>249</v>
      </c>
      <c r="F268" s="28">
        <v>1</v>
      </c>
      <c r="G268" s="29">
        <v>1252</v>
      </c>
      <c r="H268" s="29">
        <v>2295</v>
      </c>
      <c r="I268" s="29">
        <v>1252</v>
      </c>
      <c r="J268" s="29">
        <v>1974</v>
      </c>
      <c r="K268" s="30">
        <f t="shared" si="4"/>
        <v>722</v>
      </c>
    </row>
    <row r="269" spans="1:11" ht="15" customHeight="1" x14ac:dyDescent="0.25">
      <c r="A269" s="21">
        <v>42038</v>
      </c>
      <c r="B269" s="22" t="s">
        <v>252</v>
      </c>
      <c r="C269" s="22" t="s">
        <v>253</v>
      </c>
      <c r="D269" s="22" t="s">
        <v>245</v>
      </c>
      <c r="E269" s="22" t="s">
        <v>249</v>
      </c>
      <c r="F269" s="23">
        <v>2</v>
      </c>
      <c r="G269" s="24">
        <v>1266</v>
      </c>
      <c r="H269" s="24">
        <v>2320</v>
      </c>
      <c r="I269" s="24">
        <v>2532</v>
      </c>
      <c r="J269" s="24">
        <v>3805</v>
      </c>
      <c r="K269" s="25">
        <f t="shared" si="4"/>
        <v>1273</v>
      </c>
    </row>
    <row r="270" spans="1:11" ht="15" customHeight="1" x14ac:dyDescent="0.25">
      <c r="A270" s="26">
        <v>42038</v>
      </c>
      <c r="B270" s="27" t="s">
        <v>250</v>
      </c>
      <c r="C270" s="27" t="s">
        <v>251</v>
      </c>
      <c r="D270" s="27" t="s">
        <v>245</v>
      </c>
      <c r="E270" s="27" t="s">
        <v>246</v>
      </c>
      <c r="F270" s="28">
        <v>1</v>
      </c>
      <c r="G270" s="29">
        <v>1083</v>
      </c>
      <c r="H270" s="29">
        <v>1701</v>
      </c>
      <c r="I270" s="29">
        <v>1083</v>
      </c>
      <c r="J270" s="29">
        <v>1344</v>
      </c>
      <c r="K270" s="30">
        <f t="shared" si="4"/>
        <v>261</v>
      </c>
    </row>
    <row r="271" spans="1:11" ht="15" customHeight="1" x14ac:dyDescent="0.25">
      <c r="A271" s="21">
        <v>42038</v>
      </c>
      <c r="B271" s="22" t="s">
        <v>252</v>
      </c>
      <c r="C271" s="22" t="s">
        <v>253</v>
      </c>
      <c r="D271" s="22" t="s">
        <v>245</v>
      </c>
      <c r="E271" s="22" t="s">
        <v>249</v>
      </c>
      <c r="F271" s="23">
        <v>1</v>
      </c>
      <c r="G271" s="24">
        <v>308</v>
      </c>
      <c r="H271" s="24">
        <v>565</v>
      </c>
      <c r="I271" s="24">
        <v>308</v>
      </c>
      <c r="J271" s="24">
        <v>463</v>
      </c>
      <c r="K271" s="25">
        <f t="shared" si="4"/>
        <v>155</v>
      </c>
    </row>
    <row r="272" spans="1:11" ht="15" customHeight="1" x14ac:dyDescent="0.25">
      <c r="A272" s="26">
        <v>42038</v>
      </c>
      <c r="B272" s="27" t="s">
        <v>247</v>
      </c>
      <c r="C272" s="27" t="s">
        <v>248</v>
      </c>
      <c r="D272" s="27" t="s">
        <v>245</v>
      </c>
      <c r="E272" s="27" t="s">
        <v>249</v>
      </c>
      <c r="F272" s="28">
        <v>1</v>
      </c>
      <c r="G272" s="29">
        <v>1252</v>
      </c>
      <c r="H272" s="29">
        <v>2295</v>
      </c>
      <c r="I272" s="29">
        <v>1252</v>
      </c>
      <c r="J272" s="29">
        <v>2272</v>
      </c>
      <c r="K272" s="30">
        <f t="shared" si="4"/>
        <v>1020</v>
      </c>
    </row>
    <row r="273" spans="1:11" ht="15" customHeight="1" x14ac:dyDescent="0.25">
      <c r="A273" s="21">
        <v>42038</v>
      </c>
      <c r="B273" s="22" t="s">
        <v>254</v>
      </c>
      <c r="C273" s="22" t="s">
        <v>255</v>
      </c>
      <c r="D273" s="22" t="s">
        <v>245</v>
      </c>
      <c r="E273" s="22" t="s">
        <v>246</v>
      </c>
      <c r="F273" s="23">
        <v>1</v>
      </c>
      <c r="G273" s="24">
        <v>2171</v>
      </c>
      <c r="H273" s="24">
        <v>3578</v>
      </c>
      <c r="I273" s="24">
        <v>2171</v>
      </c>
      <c r="J273" s="24">
        <v>3435</v>
      </c>
      <c r="K273" s="25">
        <f t="shared" si="4"/>
        <v>1264</v>
      </c>
    </row>
    <row r="274" spans="1:11" ht="15" customHeight="1" x14ac:dyDescent="0.25">
      <c r="A274" s="26">
        <v>42038</v>
      </c>
      <c r="B274" s="27" t="s">
        <v>247</v>
      </c>
      <c r="C274" s="27" t="s">
        <v>248</v>
      </c>
      <c r="D274" s="27" t="s">
        <v>245</v>
      </c>
      <c r="E274" s="27" t="s">
        <v>246</v>
      </c>
      <c r="F274" s="28">
        <v>1</v>
      </c>
      <c r="G274" s="29">
        <v>713</v>
      </c>
      <c r="H274" s="29">
        <v>1120</v>
      </c>
      <c r="I274" s="29">
        <v>713</v>
      </c>
      <c r="J274" s="29">
        <v>1042</v>
      </c>
      <c r="K274" s="30">
        <f t="shared" si="4"/>
        <v>329</v>
      </c>
    </row>
    <row r="275" spans="1:11" ht="15" customHeight="1" x14ac:dyDescent="0.25">
      <c r="A275" s="21">
        <v>42038</v>
      </c>
      <c r="B275" s="22" t="s">
        <v>247</v>
      </c>
      <c r="C275" s="22" t="s">
        <v>248</v>
      </c>
      <c r="D275" s="22" t="s">
        <v>245</v>
      </c>
      <c r="E275" s="22" t="s">
        <v>246</v>
      </c>
      <c r="F275" s="23">
        <v>1</v>
      </c>
      <c r="G275" s="24">
        <v>713</v>
      </c>
      <c r="H275" s="24">
        <v>1120</v>
      </c>
      <c r="I275" s="24">
        <v>713</v>
      </c>
      <c r="J275" s="24">
        <v>1109</v>
      </c>
      <c r="K275" s="25">
        <f t="shared" si="4"/>
        <v>396</v>
      </c>
    </row>
    <row r="276" spans="1:11" ht="15" customHeight="1" x14ac:dyDescent="0.25">
      <c r="A276" s="26">
        <v>42038</v>
      </c>
      <c r="B276" s="27" t="s">
        <v>250</v>
      </c>
      <c r="C276" s="27" t="s">
        <v>251</v>
      </c>
      <c r="D276" s="27" t="s">
        <v>245</v>
      </c>
      <c r="E276" s="27" t="s">
        <v>246</v>
      </c>
      <c r="F276" s="28">
        <v>2</v>
      </c>
      <c r="G276" s="29">
        <v>1555</v>
      </c>
      <c r="H276" s="29">
        <v>2443</v>
      </c>
      <c r="I276" s="29">
        <v>3110</v>
      </c>
      <c r="J276" s="29">
        <v>3860</v>
      </c>
      <c r="K276" s="30">
        <f t="shared" si="4"/>
        <v>750</v>
      </c>
    </row>
    <row r="277" spans="1:11" ht="15" customHeight="1" x14ac:dyDescent="0.25">
      <c r="A277" s="21">
        <v>42038</v>
      </c>
      <c r="B277" s="22" t="s">
        <v>254</v>
      </c>
      <c r="C277" s="22" t="s">
        <v>255</v>
      </c>
      <c r="D277" s="22" t="s">
        <v>245</v>
      </c>
      <c r="E277" s="22" t="s">
        <v>246</v>
      </c>
      <c r="F277" s="23">
        <v>1</v>
      </c>
      <c r="G277" s="24">
        <v>344</v>
      </c>
      <c r="H277" s="24">
        <v>540</v>
      </c>
      <c r="I277" s="24">
        <v>344</v>
      </c>
      <c r="J277" s="24">
        <v>518</v>
      </c>
      <c r="K277" s="25">
        <f t="shared" si="4"/>
        <v>174</v>
      </c>
    </row>
    <row r="278" spans="1:11" ht="15" customHeight="1" x14ac:dyDescent="0.25">
      <c r="A278" s="26">
        <v>42039</v>
      </c>
      <c r="B278" s="27" t="s">
        <v>254</v>
      </c>
      <c r="C278" s="27" t="s">
        <v>255</v>
      </c>
      <c r="D278" s="27" t="s">
        <v>245</v>
      </c>
      <c r="E278" s="27" t="s">
        <v>246</v>
      </c>
      <c r="F278" s="28">
        <v>1</v>
      </c>
      <c r="G278" s="29">
        <v>1083</v>
      </c>
      <c r="H278" s="29">
        <v>1701</v>
      </c>
      <c r="I278" s="29">
        <v>1083</v>
      </c>
      <c r="J278" s="29">
        <v>1633</v>
      </c>
      <c r="K278" s="30">
        <f t="shared" si="4"/>
        <v>550</v>
      </c>
    </row>
    <row r="279" spans="1:11" ht="15" customHeight="1" x14ac:dyDescent="0.25">
      <c r="A279" s="21">
        <v>42039</v>
      </c>
      <c r="B279" s="22" t="s">
        <v>243</v>
      </c>
      <c r="C279" s="22" t="s">
        <v>244</v>
      </c>
      <c r="D279" s="22" t="s">
        <v>245</v>
      </c>
      <c r="E279" s="22" t="s">
        <v>246</v>
      </c>
      <c r="F279" s="23">
        <v>1</v>
      </c>
      <c r="G279" s="24">
        <v>487</v>
      </c>
      <c r="H279" s="24">
        <v>783</v>
      </c>
      <c r="I279" s="24">
        <v>487</v>
      </c>
      <c r="J279" s="24">
        <v>767</v>
      </c>
      <c r="K279" s="25">
        <f t="shared" si="4"/>
        <v>280</v>
      </c>
    </row>
    <row r="280" spans="1:11" ht="15" customHeight="1" x14ac:dyDescent="0.25">
      <c r="A280" s="26">
        <v>42039</v>
      </c>
      <c r="B280" s="27" t="s">
        <v>250</v>
      </c>
      <c r="C280" s="27" t="s">
        <v>251</v>
      </c>
      <c r="D280" s="27" t="s">
        <v>245</v>
      </c>
      <c r="E280" s="27" t="s">
        <v>246</v>
      </c>
      <c r="F280" s="28">
        <v>2</v>
      </c>
      <c r="G280" s="29">
        <v>713</v>
      </c>
      <c r="H280" s="29">
        <v>1120</v>
      </c>
      <c r="I280" s="29">
        <v>1426</v>
      </c>
      <c r="J280" s="29">
        <v>1837</v>
      </c>
      <c r="K280" s="30">
        <f t="shared" si="4"/>
        <v>411</v>
      </c>
    </row>
    <row r="281" spans="1:11" ht="15" customHeight="1" x14ac:dyDescent="0.25">
      <c r="A281" s="21">
        <v>42039</v>
      </c>
      <c r="B281" s="22" t="s">
        <v>250</v>
      </c>
      <c r="C281" s="22" t="s">
        <v>251</v>
      </c>
      <c r="D281" s="22" t="s">
        <v>245</v>
      </c>
      <c r="E281" s="22" t="s">
        <v>246</v>
      </c>
      <c r="F281" s="23">
        <v>1</v>
      </c>
      <c r="G281" s="24">
        <v>487</v>
      </c>
      <c r="H281" s="24">
        <v>783</v>
      </c>
      <c r="I281" s="24">
        <v>487</v>
      </c>
      <c r="J281" s="24">
        <v>681</v>
      </c>
      <c r="K281" s="25">
        <f t="shared" si="4"/>
        <v>194</v>
      </c>
    </row>
    <row r="282" spans="1:11" ht="15" customHeight="1" x14ac:dyDescent="0.25">
      <c r="A282" s="26">
        <v>42039</v>
      </c>
      <c r="B282" s="27" t="s">
        <v>254</v>
      </c>
      <c r="C282" s="27" t="s">
        <v>255</v>
      </c>
      <c r="D282" s="27" t="s">
        <v>245</v>
      </c>
      <c r="E282" s="27" t="s">
        <v>246</v>
      </c>
      <c r="F282" s="28">
        <v>3</v>
      </c>
      <c r="G282" s="29">
        <v>344</v>
      </c>
      <c r="H282" s="29">
        <v>540</v>
      </c>
      <c r="I282" s="29">
        <v>1032</v>
      </c>
      <c r="J282" s="29">
        <v>1555</v>
      </c>
      <c r="K282" s="30">
        <f t="shared" si="4"/>
        <v>523</v>
      </c>
    </row>
    <row r="283" spans="1:11" ht="15" customHeight="1" x14ac:dyDescent="0.25">
      <c r="A283" s="21">
        <v>42039</v>
      </c>
      <c r="B283" s="22" t="s">
        <v>243</v>
      </c>
      <c r="C283" s="22" t="s">
        <v>244</v>
      </c>
      <c r="D283" s="22" t="s">
        <v>245</v>
      </c>
      <c r="E283" s="22" t="s">
        <v>246</v>
      </c>
      <c r="F283" s="23">
        <v>3</v>
      </c>
      <c r="G283" s="24">
        <v>713</v>
      </c>
      <c r="H283" s="24">
        <v>1120</v>
      </c>
      <c r="I283" s="24">
        <v>2139</v>
      </c>
      <c r="J283" s="24">
        <v>2890</v>
      </c>
      <c r="K283" s="25">
        <f t="shared" si="4"/>
        <v>751</v>
      </c>
    </row>
    <row r="284" spans="1:11" ht="15" customHeight="1" x14ac:dyDescent="0.25">
      <c r="A284" s="26">
        <v>42039</v>
      </c>
      <c r="B284" s="27" t="s">
        <v>250</v>
      </c>
      <c r="C284" s="27" t="s">
        <v>251</v>
      </c>
      <c r="D284" s="27" t="s">
        <v>245</v>
      </c>
      <c r="E284" s="27" t="s">
        <v>246</v>
      </c>
      <c r="F284" s="28">
        <v>1</v>
      </c>
      <c r="G284" s="29">
        <v>1555</v>
      </c>
      <c r="H284" s="29">
        <v>2443</v>
      </c>
      <c r="I284" s="29">
        <v>1555</v>
      </c>
      <c r="J284" s="29">
        <v>2052</v>
      </c>
      <c r="K284" s="30">
        <f t="shared" si="4"/>
        <v>497</v>
      </c>
    </row>
    <row r="285" spans="1:11" ht="15" customHeight="1" x14ac:dyDescent="0.25">
      <c r="A285" s="21">
        <v>42039</v>
      </c>
      <c r="B285" s="22" t="s">
        <v>250</v>
      </c>
      <c r="C285" s="22" t="s">
        <v>251</v>
      </c>
      <c r="D285" s="22" t="s">
        <v>245</v>
      </c>
      <c r="E285" s="22" t="s">
        <v>249</v>
      </c>
      <c r="F285" s="23">
        <v>1</v>
      </c>
      <c r="G285" s="24">
        <v>1266</v>
      </c>
      <c r="H285" s="24">
        <v>2320</v>
      </c>
      <c r="I285" s="24">
        <v>1266</v>
      </c>
      <c r="J285" s="24">
        <v>2018</v>
      </c>
      <c r="K285" s="25">
        <f t="shared" si="4"/>
        <v>752</v>
      </c>
    </row>
    <row r="286" spans="1:11" ht="15" customHeight="1" x14ac:dyDescent="0.25">
      <c r="A286" s="26">
        <v>42039</v>
      </c>
      <c r="B286" s="27" t="s">
        <v>252</v>
      </c>
      <c r="C286" s="27" t="s">
        <v>253</v>
      </c>
      <c r="D286" s="27" t="s">
        <v>245</v>
      </c>
      <c r="E286" s="27" t="s">
        <v>246</v>
      </c>
      <c r="F286" s="28">
        <v>2</v>
      </c>
      <c r="G286" s="29">
        <v>1555</v>
      </c>
      <c r="H286" s="29">
        <v>2443</v>
      </c>
      <c r="I286" s="29">
        <v>3110</v>
      </c>
      <c r="J286" s="29">
        <v>3713</v>
      </c>
      <c r="K286" s="30">
        <f t="shared" si="4"/>
        <v>603</v>
      </c>
    </row>
    <row r="287" spans="1:11" ht="15" customHeight="1" x14ac:dyDescent="0.25">
      <c r="A287" s="21">
        <v>42039</v>
      </c>
      <c r="B287" s="22" t="s">
        <v>243</v>
      </c>
      <c r="C287" s="22" t="s">
        <v>244</v>
      </c>
      <c r="D287" s="22" t="s">
        <v>245</v>
      </c>
      <c r="E287" s="22" t="s">
        <v>249</v>
      </c>
      <c r="F287" s="23">
        <v>1</v>
      </c>
      <c r="G287" s="24">
        <v>1266</v>
      </c>
      <c r="H287" s="24">
        <v>2320</v>
      </c>
      <c r="I287" s="24">
        <v>1266</v>
      </c>
      <c r="J287" s="24">
        <v>2274</v>
      </c>
      <c r="K287" s="25">
        <f t="shared" si="4"/>
        <v>1008</v>
      </c>
    </row>
    <row r="288" spans="1:11" ht="15" customHeight="1" x14ac:dyDescent="0.25">
      <c r="A288" s="26">
        <v>42039</v>
      </c>
      <c r="B288" s="27" t="s">
        <v>250</v>
      </c>
      <c r="C288" s="27" t="s">
        <v>251</v>
      </c>
      <c r="D288" s="27" t="s">
        <v>245</v>
      </c>
      <c r="E288" s="27" t="s">
        <v>246</v>
      </c>
      <c r="F288" s="28">
        <v>1</v>
      </c>
      <c r="G288" s="29">
        <v>713</v>
      </c>
      <c r="H288" s="29">
        <v>1120</v>
      </c>
      <c r="I288" s="29">
        <v>713</v>
      </c>
      <c r="J288" s="29">
        <v>941</v>
      </c>
      <c r="K288" s="30">
        <f t="shared" si="4"/>
        <v>228</v>
      </c>
    </row>
    <row r="289" spans="1:11" ht="15" customHeight="1" x14ac:dyDescent="0.25">
      <c r="A289" s="21">
        <v>42039</v>
      </c>
      <c r="B289" s="22" t="s">
        <v>250</v>
      </c>
      <c r="C289" s="22" t="s">
        <v>251</v>
      </c>
      <c r="D289" s="22" t="s">
        <v>245</v>
      </c>
      <c r="E289" s="22" t="s">
        <v>246</v>
      </c>
      <c r="F289" s="23">
        <v>1</v>
      </c>
      <c r="G289" s="24">
        <v>344</v>
      </c>
      <c r="H289" s="24">
        <v>540</v>
      </c>
      <c r="I289" s="24">
        <v>344</v>
      </c>
      <c r="J289" s="24">
        <v>454</v>
      </c>
      <c r="K289" s="25">
        <f t="shared" si="4"/>
        <v>110</v>
      </c>
    </row>
    <row r="290" spans="1:11" ht="15" customHeight="1" x14ac:dyDescent="0.25">
      <c r="A290" s="26">
        <v>42039</v>
      </c>
      <c r="B290" s="27" t="s">
        <v>250</v>
      </c>
      <c r="C290" s="27" t="s">
        <v>251</v>
      </c>
      <c r="D290" s="27" t="s">
        <v>245</v>
      </c>
      <c r="E290" s="27" t="s">
        <v>246</v>
      </c>
      <c r="F290" s="28">
        <v>1</v>
      </c>
      <c r="G290" s="29">
        <v>2171</v>
      </c>
      <c r="H290" s="29">
        <v>3578</v>
      </c>
      <c r="I290" s="29">
        <v>2171</v>
      </c>
      <c r="J290" s="29">
        <v>2934</v>
      </c>
      <c r="K290" s="30">
        <f t="shared" si="4"/>
        <v>763</v>
      </c>
    </row>
    <row r="291" spans="1:11" ht="15" customHeight="1" x14ac:dyDescent="0.25">
      <c r="A291" s="21">
        <v>42039</v>
      </c>
      <c r="B291" s="22" t="s">
        <v>256</v>
      </c>
      <c r="C291" s="22" t="s">
        <v>257</v>
      </c>
      <c r="D291" s="22" t="s">
        <v>245</v>
      </c>
      <c r="E291" s="22" t="s">
        <v>249</v>
      </c>
      <c r="F291" s="23">
        <v>1</v>
      </c>
      <c r="G291" s="24">
        <v>1266</v>
      </c>
      <c r="H291" s="24">
        <v>2320</v>
      </c>
      <c r="I291" s="24">
        <v>1266</v>
      </c>
      <c r="J291" s="24">
        <v>2297</v>
      </c>
      <c r="K291" s="25">
        <f t="shared" si="4"/>
        <v>1031</v>
      </c>
    </row>
    <row r="292" spans="1:11" ht="15" customHeight="1" x14ac:dyDescent="0.25">
      <c r="A292" s="26">
        <v>42039</v>
      </c>
      <c r="B292" s="27" t="s">
        <v>254</v>
      </c>
      <c r="C292" s="27" t="s">
        <v>255</v>
      </c>
      <c r="D292" s="27" t="s">
        <v>245</v>
      </c>
      <c r="E292" s="27" t="s">
        <v>246</v>
      </c>
      <c r="F292" s="28">
        <v>1</v>
      </c>
      <c r="G292" s="29">
        <v>2171</v>
      </c>
      <c r="H292" s="29">
        <v>3578</v>
      </c>
      <c r="I292" s="29">
        <v>2171</v>
      </c>
      <c r="J292" s="29">
        <v>3435</v>
      </c>
      <c r="K292" s="30">
        <f t="shared" si="4"/>
        <v>1264</v>
      </c>
    </row>
    <row r="293" spans="1:11" ht="15" customHeight="1" x14ac:dyDescent="0.25">
      <c r="A293" s="21">
        <v>42039</v>
      </c>
      <c r="B293" s="22" t="s">
        <v>250</v>
      </c>
      <c r="C293" s="22" t="s">
        <v>251</v>
      </c>
      <c r="D293" s="22" t="s">
        <v>245</v>
      </c>
      <c r="E293" s="22" t="s">
        <v>249</v>
      </c>
      <c r="F293" s="23">
        <v>3</v>
      </c>
      <c r="G293" s="24">
        <v>420</v>
      </c>
      <c r="H293" s="24">
        <v>769</v>
      </c>
      <c r="I293" s="24">
        <v>1260</v>
      </c>
      <c r="J293" s="24">
        <v>2007</v>
      </c>
      <c r="K293" s="25">
        <f t="shared" si="4"/>
        <v>747</v>
      </c>
    </row>
    <row r="294" spans="1:11" ht="15" customHeight="1" x14ac:dyDescent="0.25">
      <c r="A294" s="26">
        <v>42039</v>
      </c>
      <c r="B294" s="27" t="s">
        <v>250</v>
      </c>
      <c r="C294" s="27" t="s">
        <v>251</v>
      </c>
      <c r="D294" s="27" t="s">
        <v>245</v>
      </c>
      <c r="E294" s="27" t="s">
        <v>246</v>
      </c>
      <c r="F294" s="28">
        <v>1</v>
      </c>
      <c r="G294" s="29">
        <v>2171</v>
      </c>
      <c r="H294" s="29">
        <v>3578</v>
      </c>
      <c r="I294" s="29">
        <v>2171</v>
      </c>
      <c r="J294" s="29">
        <v>3006</v>
      </c>
      <c r="K294" s="30">
        <f t="shared" si="4"/>
        <v>835</v>
      </c>
    </row>
    <row r="295" spans="1:11" ht="15" customHeight="1" x14ac:dyDescent="0.25">
      <c r="A295" s="21">
        <v>42040</v>
      </c>
      <c r="B295" s="22" t="s">
        <v>243</v>
      </c>
      <c r="C295" s="22" t="s">
        <v>244</v>
      </c>
      <c r="D295" s="22" t="s">
        <v>245</v>
      </c>
      <c r="E295" s="22" t="s">
        <v>249</v>
      </c>
      <c r="F295" s="23">
        <v>2</v>
      </c>
      <c r="G295" s="24">
        <v>1266</v>
      </c>
      <c r="H295" s="24">
        <v>2320</v>
      </c>
      <c r="I295" s="24">
        <v>2532</v>
      </c>
      <c r="J295" s="24">
        <v>4547</v>
      </c>
      <c r="K295" s="25">
        <f t="shared" si="4"/>
        <v>2015</v>
      </c>
    </row>
    <row r="296" spans="1:11" ht="15" customHeight="1" x14ac:dyDescent="0.25">
      <c r="A296" s="26">
        <v>42040</v>
      </c>
      <c r="B296" s="27" t="s">
        <v>254</v>
      </c>
      <c r="C296" s="27" t="s">
        <v>255</v>
      </c>
      <c r="D296" s="27" t="s">
        <v>245</v>
      </c>
      <c r="E296" s="27" t="s">
        <v>249</v>
      </c>
      <c r="F296" s="28">
        <v>1</v>
      </c>
      <c r="G296" s="29">
        <v>1252</v>
      </c>
      <c r="H296" s="29">
        <v>2295</v>
      </c>
      <c r="I296" s="29">
        <v>1252</v>
      </c>
      <c r="J296" s="29">
        <v>2203</v>
      </c>
      <c r="K296" s="30">
        <f t="shared" si="4"/>
        <v>951</v>
      </c>
    </row>
    <row r="297" spans="1:11" ht="15" customHeight="1" x14ac:dyDescent="0.25">
      <c r="A297" s="21">
        <v>42040</v>
      </c>
      <c r="B297" s="22" t="s">
        <v>243</v>
      </c>
      <c r="C297" s="22" t="s">
        <v>244</v>
      </c>
      <c r="D297" s="22" t="s">
        <v>245</v>
      </c>
      <c r="E297" s="22" t="s">
        <v>249</v>
      </c>
      <c r="F297" s="23">
        <v>1</v>
      </c>
      <c r="G297" s="24">
        <v>420</v>
      </c>
      <c r="H297" s="24">
        <v>769</v>
      </c>
      <c r="I297" s="24">
        <v>420</v>
      </c>
      <c r="J297" s="24">
        <v>600</v>
      </c>
      <c r="K297" s="25">
        <f t="shared" si="4"/>
        <v>180</v>
      </c>
    </row>
    <row r="298" spans="1:11" ht="15" customHeight="1" x14ac:dyDescent="0.25">
      <c r="A298" s="26">
        <v>42040</v>
      </c>
      <c r="B298" s="27" t="s">
        <v>256</v>
      </c>
      <c r="C298" s="27" t="s">
        <v>257</v>
      </c>
      <c r="D298" s="27" t="s">
        <v>245</v>
      </c>
      <c r="E298" s="27" t="s">
        <v>246</v>
      </c>
      <c r="F298" s="28">
        <v>1</v>
      </c>
      <c r="G298" s="29">
        <v>2171</v>
      </c>
      <c r="H298" s="29">
        <v>3578</v>
      </c>
      <c r="I298" s="29">
        <v>2171</v>
      </c>
      <c r="J298" s="29">
        <v>3542</v>
      </c>
      <c r="K298" s="30">
        <f t="shared" si="4"/>
        <v>1371</v>
      </c>
    </row>
    <row r="299" spans="1:11" ht="15" customHeight="1" x14ac:dyDescent="0.25">
      <c r="A299" s="21">
        <v>42040</v>
      </c>
      <c r="B299" s="22" t="s">
        <v>252</v>
      </c>
      <c r="C299" s="22" t="s">
        <v>253</v>
      </c>
      <c r="D299" s="22" t="s">
        <v>245</v>
      </c>
      <c r="E299" s="22" t="s">
        <v>246</v>
      </c>
      <c r="F299" s="23">
        <v>1</v>
      </c>
      <c r="G299" s="24">
        <v>2171</v>
      </c>
      <c r="H299" s="24">
        <v>3578</v>
      </c>
      <c r="I299" s="24">
        <v>2171</v>
      </c>
      <c r="J299" s="24">
        <v>3506</v>
      </c>
      <c r="K299" s="25">
        <f t="shared" si="4"/>
        <v>1335</v>
      </c>
    </row>
    <row r="300" spans="1:11" ht="15" customHeight="1" x14ac:dyDescent="0.25">
      <c r="A300" s="26">
        <v>42040</v>
      </c>
      <c r="B300" s="27" t="s">
        <v>250</v>
      </c>
      <c r="C300" s="27" t="s">
        <v>251</v>
      </c>
      <c r="D300" s="27" t="s">
        <v>245</v>
      </c>
      <c r="E300" s="27" t="s">
        <v>246</v>
      </c>
      <c r="F300" s="28">
        <v>2</v>
      </c>
      <c r="G300" s="29">
        <v>1083</v>
      </c>
      <c r="H300" s="29">
        <v>1701</v>
      </c>
      <c r="I300" s="29">
        <v>2166</v>
      </c>
      <c r="J300" s="29">
        <v>2960</v>
      </c>
      <c r="K300" s="30">
        <f t="shared" si="4"/>
        <v>794</v>
      </c>
    </row>
    <row r="301" spans="1:11" ht="15" customHeight="1" x14ac:dyDescent="0.25">
      <c r="A301" s="21">
        <v>42040</v>
      </c>
      <c r="B301" s="22" t="s">
        <v>243</v>
      </c>
      <c r="C301" s="22" t="s">
        <v>244</v>
      </c>
      <c r="D301" s="22" t="s">
        <v>245</v>
      </c>
      <c r="E301" s="22" t="s">
        <v>249</v>
      </c>
      <c r="F301" s="23">
        <v>1</v>
      </c>
      <c r="G301" s="24">
        <v>1252</v>
      </c>
      <c r="H301" s="24">
        <v>2295</v>
      </c>
      <c r="I301" s="24">
        <v>1252</v>
      </c>
      <c r="J301" s="24">
        <v>1974</v>
      </c>
      <c r="K301" s="25">
        <f t="shared" si="4"/>
        <v>722</v>
      </c>
    </row>
    <row r="302" spans="1:11" ht="15" customHeight="1" x14ac:dyDescent="0.25">
      <c r="A302" s="26">
        <v>42040</v>
      </c>
      <c r="B302" s="27" t="s">
        <v>250</v>
      </c>
      <c r="C302" s="27" t="s">
        <v>251</v>
      </c>
      <c r="D302" s="27" t="s">
        <v>245</v>
      </c>
      <c r="E302" s="27" t="s">
        <v>249</v>
      </c>
      <c r="F302" s="28">
        <v>1</v>
      </c>
      <c r="G302" s="29">
        <v>1266</v>
      </c>
      <c r="H302" s="29">
        <v>2320</v>
      </c>
      <c r="I302" s="29">
        <v>1266</v>
      </c>
      <c r="J302" s="29">
        <v>2018</v>
      </c>
      <c r="K302" s="30">
        <f t="shared" si="4"/>
        <v>752</v>
      </c>
    </row>
    <row r="303" spans="1:11" ht="15" customHeight="1" x14ac:dyDescent="0.25">
      <c r="A303" s="21">
        <v>42041</v>
      </c>
      <c r="B303" s="22" t="s">
        <v>256</v>
      </c>
      <c r="C303" s="22" t="s">
        <v>257</v>
      </c>
      <c r="D303" s="22" t="s">
        <v>245</v>
      </c>
      <c r="E303" s="22" t="s">
        <v>249</v>
      </c>
      <c r="F303" s="23">
        <v>2</v>
      </c>
      <c r="G303" s="24">
        <v>1252</v>
      </c>
      <c r="H303" s="24">
        <v>2295</v>
      </c>
      <c r="I303" s="24">
        <v>2504</v>
      </c>
      <c r="J303" s="24">
        <v>4544</v>
      </c>
      <c r="K303" s="25">
        <f t="shared" si="4"/>
        <v>2040</v>
      </c>
    </row>
    <row r="304" spans="1:11" ht="15" customHeight="1" x14ac:dyDescent="0.25">
      <c r="A304" s="26">
        <v>42041</v>
      </c>
      <c r="B304" s="27" t="s">
        <v>243</v>
      </c>
      <c r="C304" s="27" t="s">
        <v>244</v>
      </c>
      <c r="D304" s="27" t="s">
        <v>245</v>
      </c>
      <c r="E304" s="27" t="s">
        <v>249</v>
      </c>
      <c r="F304" s="28">
        <v>1</v>
      </c>
      <c r="G304" s="29">
        <v>1266</v>
      </c>
      <c r="H304" s="29">
        <v>2320</v>
      </c>
      <c r="I304" s="29">
        <v>1266</v>
      </c>
      <c r="J304" s="29">
        <v>1810</v>
      </c>
      <c r="K304" s="30">
        <f t="shared" si="4"/>
        <v>544</v>
      </c>
    </row>
    <row r="305" spans="1:11" ht="21.75" customHeight="1" x14ac:dyDescent="0.25">
      <c r="A305" s="48" t="s">
        <v>258</v>
      </c>
      <c r="B305" s="48"/>
      <c r="C305" s="48"/>
      <c r="D305" s="48"/>
      <c r="E305" s="48"/>
      <c r="F305" s="48"/>
      <c r="G305" s="48"/>
      <c r="H305" s="48"/>
      <c r="I305" s="31">
        <f>SUM(I5:I304)</f>
        <v>534235</v>
      </c>
      <c r="J305" s="31">
        <f>SUM(J5:J304)</f>
        <v>795005</v>
      </c>
      <c r="K305" s="31">
        <f>SUM(K5:K304)</f>
        <v>260770</v>
      </c>
    </row>
    <row r="307" spans="1:11" ht="27.75" customHeight="1" x14ac:dyDescent="0.25">
      <c r="A307" s="49" t="s">
        <v>259</v>
      </c>
      <c r="B307" s="49"/>
      <c r="C307" s="49"/>
      <c r="D307" s="49"/>
      <c r="E307" s="49"/>
      <c r="F307" s="49"/>
      <c r="G307" s="49"/>
      <c r="H307" s="49"/>
      <c r="I307" s="49"/>
      <c r="J307" s="49"/>
      <c r="K307" s="49"/>
    </row>
  </sheetData>
  <autoFilter ref="A4:K4" xr:uid="{00000000-0001-0000-0500-000000000000}"/>
  <mergeCells count="5">
    <mergeCell ref="A1:K1"/>
    <mergeCell ref="A2:K2"/>
    <mergeCell ref="A3:K3"/>
    <mergeCell ref="A305:H305"/>
    <mergeCell ref="A307:K30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4"/>
  <sheetViews>
    <sheetView showGridLines="0" topLeftCell="A19" zoomScaleNormal="100" workbookViewId="0">
      <selection activeCell="C14" sqref="C14:G14"/>
    </sheetView>
  </sheetViews>
  <sheetFormatPr baseColWidth="10" defaultColWidth="8.7109375" defaultRowHeight="15" x14ac:dyDescent="0.25"/>
  <cols>
    <col min="1" max="1" width="4" customWidth="1"/>
    <col min="2" max="2" width="43.5703125" customWidth="1"/>
    <col min="3" max="5" width="14" customWidth="1"/>
    <col min="6" max="9" width="12" customWidth="1"/>
    <col min="10" max="12" width="14" customWidth="1"/>
    <col min="13" max="13" width="16" customWidth="1"/>
  </cols>
  <sheetData>
    <row r="1" spans="1:13" ht="30" customHeight="1" x14ac:dyDescent="0.25">
      <c r="A1" s="98" t="s">
        <v>260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</row>
    <row r="2" spans="1:13" ht="30" customHeight="1" x14ac:dyDescent="0.25">
      <c r="A2" s="99" t="s">
        <v>261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</row>
    <row r="3" spans="1:13" x14ac:dyDescent="0.25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1:13" ht="21.75" customHeight="1" x14ac:dyDescent="0.25">
      <c r="A4" s="78" t="s">
        <v>262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</row>
    <row r="5" spans="1:13" ht="19.5" customHeight="1" x14ac:dyDescent="0.25">
      <c r="A5" s="58"/>
      <c r="B5" s="100" t="s">
        <v>193</v>
      </c>
      <c r="C5" s="101">
        <v>2015</v>
      </c>
      <c r="D5" s="102" t="s">
        <v>263</v>
      </c>
      <c r="E5" s="102"/>
      <c r="F5" s="102"/>
      <c r="G5" s="102"/>
      <c r="H5" s="102"/>
      <c r="I5" s="102"/>
      <c r="J5" s="102"/>
      <c r="K5" s="102"/>
      <c r="L5" s="102"/>
      <c r="M5" s="102"/>
    </row>
    <row r="6" spans="1:13" ht="19.5" customHeight="1" x14ac:dyDescent="0.25">
      <c r="A6" s="58"/>
      <c r="B6" s="103" t="s">
        <v>264</v>
      </c>
      <c r="C6" s="104">
        <v>0.05</v>
      </c>
      <c r="D6" s="105" t="s">
        <v>265</v>
      </c>
      <c r="E6" s="105"/>
      <c r="F6" s="105"/>
      <c r="G6" s="105"/>
      <c r="H6" s="105"/>
      <c r="I6" s="105"/>
      <c r="J6" s="105"/>
      <c r="K6" s="105"/>
      <c r="L6" s="105"/>
      <c r="M6" s="105"/>
    </row>
    <row r="7" spans="1:13" ht="19.5" customHeight="1" x14ac:dyDescent="0.25">
      <c r="A7" s="58"/>
      <c r="B7" s="100" t="s">
        <v>266</v>
      </c>
      <c r="C7" s="104">
        <v>0.03</v>
      </c>
      <c r="D7" s="102" t="s">
        <v>267</v>
      </c>
      <c r="E7" s="102"/>
      <c r="F7" s="102"/>
      <c r="G7" s="102"/>
      <c r="H7" s="102"/>
      <c r="I7" s="102"/>
      <c r="J7" s="102"/>
      <c r="K7" s="102"/>
      <c r="L7" s="102"/>
      <c r="M7" s="102"/>
    </row>
    <row r="8" spans="1:13" ht="19.5" customHeight="1" x14ac:dyDescent="0.25">
      <c r="A8" s="58"/>
      <c r="B8" s="103" t="s">
        <v>268</v>
      </c>
      <c r="C8" s="104">
        <v>0.05</v>
      </c>
      <c r="D8" s="105" t="s">
        <v>269</v>
      </c>
      <c r="E8" s="105"/>
      <c r="F8" s="105"/>
      <c r="G8" s="105"/>
      <c r="H8" s="105"/>
      <c r="I8" s="105"/>
      <c r="J8" s="105"/>
      <c r="K8" s="105"/>
      <c r="L8" s="105"/>
      <c r="M8" s="105"/>
    </row>
    <row r="9" spans="1:13" ht="19.5" customHeight="1" x14ac:dyDescent="0.25">
      <c r="A9" s="58"/>
      <c r="B9" s="100" t="s">
        <v>270</v>
      </c>
      <c r="C9" s="104">
        <v>0.03</v>
      </c>
      <c r="D9" s="102" t="s">
        <v>271</v>
      </c>
      <c r="E9" s="102"/>
      <c r="F9" s="102"/>
      <c r="G9" s="102"/>
      <c r="H9" s="102"/>
      <c r="I9" s="102"/>
      <c r="J9" s="102"/>
      <c r="K9" s="102"/>
      <c r="L9" s="102"/>
      <c r="M9" s="102"/>
    </row>
    <row r="10" spans="1:13" ht="19.5" customHeight="1" x14ac:dyDescent="0.25">
      <c r="A10" s="58"/>
      <c r="B10" s="103" t="s">
        <v>272</v>
      </c>
      <c r="C10" s="104">
        <v>-0.03</v>
      </c>
      <c r="D10" s="105" t="s">
        <v>273</v>
      </c>
      <c r="E10" s="105"/>
      <c r="F10" s="105"/>
      <c r="G10" s="105"/>
      <c r="H10" s="105"/>
      <c r="I10" s="105"/>
      <c r="J10" s="105"/>
      <c r="K10" s="105"/>
      <c r="L10" s="105"/>
      <c r="M10" s="105"/>
    </row>
    <row r="11" spans="1:13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</row>
    <row r="12" spans="1:13" ht="21.75" customHeight="1" x14ac:dyDescent="0.25">
      <c r="A12" s="78" t="s">
        <v>274</v>
      </c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</row>
    <row r="13" spans="1:13" ht="42" customHeight="1" x14ac:dyDescent="0.25">
      <c r="A13" s="58"/>
      <c r="B13" s="100" t="s">
        <v>275</v>
      </c>
      <c r="C13" s="106" t="s">
        <v>276</v>
      </c>
      <c r="D13" s="106"/>
      <c r="E13" s="106"/>
      <c r="F13" s="106"/>
      <c r="G13" s="106"/>
      <c r="H13" s="107" t="s">
        <v>277</v>
      </c>
      <c r="I13" s="107"/>
      <c r="J13" s="107"/>
      <c r="K13" s="107"/>
      <c r="L13" s="107"/>
      <c r="M13" s="107"/>
    </row>
    <row r="14" spans="1:13" ht="42" customHeight="1" x14ac:dyDescent="0.25">
      <c r="A14" s="58"/>
      <c r="B14" s="103" t="s">
        <v>195</v>
      </c>
      <c r="C14" s="108" t="s">
        <v>278</v>
      </c>
      <c r="D14" s="108"/>
      <c r="E14" s="108"/>
      <c r="F14" s="108"/>
      <c r="G14" s="108"/>
      <c r="H14" s="109" t="s">
        <v>279</v>
      </c>
      <c r="I14" s="109"/>
      <c r="J14" s="109"/>
      <c r="K14" s="109"/>
      <c r="L14" s="109"/>
      <c r="M14" s="109"/>
    </row>
    <row r="15" spans="1:13" ht="42" customHeight="1" x14ac:dyDescent="0.25">
      <c r="A15" s="58"/>
      <c r="B15" s="100" t="s">
        <v>280</v>
      </c>
      <c r="C15" s="106" t="s">
        <v>281</v>
      </c>
      <c r="D15" s="106"/>
      <c r="E15" s="106"/>
      <c r="F15" s="106"/>
      <c r="G15" s="106"/>
      <c r="H15" s="107" t="s">
        <v>282</v>
      </c>
      <c r="I15" s="107"/>
      <c r="J15" s="107"/>
      <c r="K15" s="107"/>
      <c r="L15" s="107"/>
      <c r="M15" s="107"/>
    </row>
    <row r="16" spans="1:13" ht="42" customHeight="1" x14ac:dyDescent="0.25">
      <c r="A16" s="58"/>
      <c r="B16" s="103" t="s">
        <v>283</v>
      </c>
      <c r="C16" s="108" t="s">
        <v>284</v>
      </c>
      <c r="D16" s="108"/>
      <c r="E16" s="108"/>
      <c r="F16" s="108"/>
      <c r="G16" s="108"/>
      <c r="H16" s="109" t="s">
        <v>285</v>
      </c>
      <c r="I16" s="109"/>
      <c r="J16" s="109"/>
      <c r="K16" s="109"/>
      <c r="L16" s="109"/>
      <c r="M16" s="109"/>
    </row>
    <row r="17" spans="1:13" ht="42" customHeight="1" x14ac:dyDescent="0.25">
      <c r="A17" s="58"/>
      <c r="B17" s="100" t="s">
        <v>286</v>
      </c>
      <c r="C17" s="106" t="s">
        <v>287</v>
      </c>
      <c r="D17" s="106"/>
      <c r="E17" s="106"/>
      <c r="F17" s="106"/>
      <c r="G17" s="106"/>
      <c r="H17" s="107" t="s">
        <v>288</v>
      </c>
      <c r="I17" s="107"/>
      <c r="J17" s="107"/>
      <c r="K17" s="107"/>
      <c r="L17" s="107"/>
      <c r="M17" s="107"/>
    </row>
    <row r="18" spans="1:13" ht="42" customHeight="1" x14ac:dyDescent="0.25">
      <c r="A18" s="58"/>
      <c r="B18" s="103" t="s">
        <v>289</v>
      </c>
      <c r="C18" s="108" t="s">
        <v>290</v>
      </c>
      <c r="D18" s="108"/>
      <c r="E18" s="108"/>
      <c r="F18" s="108"/>
      <c r="G18" s="108"/>
      <c r="H18" s="109" t="s">
        <v>291</v>
      </c>
      <c r="I18" s="109"/>
      <c r="J18" s="109"/>
      <c r="K18" s="109"/>
      <c r="L18" s="109"/>
      <c r="M18" s="109"/>
    </row>
    <row r="19" spans="1:13" ht="42" customHeight="1" x14ac:dyDescent="0.25">
      <c r="A19" s="58"/>
      <c r="B19" s="100" t="s">
        <v>292</v>
      </c>
      <c r="C19" s="106" t="s">
        <v>293</v>
      </c>
      <c r="D19" s="106"/>
      <c r="E19" s="106"/>
      <c r="F19" s="106"/>
      <c r="G19" s="106"/>
      <c r="H19" s="107" t="s">
        <v>294</v>
      </c>
      <c r="I19" s="107"/>
      <c r="J19" s="107"/>
      <c r="K19" s="107"/>
      <c r="L19" s="107"/>
      <c r="M19" s="107"/>
    </row>
    <row r="20" spans="1:13" ht="42" customHeight="1" x14ac:dyDescent="0.25">
      <c r="A20" s="58"/>
      <c r="B20" s="103" t="s">
        <v>295</v>
      </c>
      <c r="C20" s="108" t="s">
        <v>296</v>
      </c>
      <c r="D20" s="108"/>
      <c r="E20" s="108"/>
      <c r="F20" s="108"/>
      <c r="G20" s="108"/>
      <c r="H20" s="109" t="s">
        <v>297</v>
      </c>
      <c r="I20" s="109"/>
      <c r="J20" s="109"/>
      <c r="K20" s="109"/>
      <c r="L20" s="109"/>
      <c r="M20" s="109"/>
    </row>
    <row r="21" spans="1:13" ht="42" customHeight="1" x14ac:dyDescent="0.25">
      <c r="A21" s="58"/>
      <c r="B21" s="100" t="s">
        <v>207</v>
      </c>
      <c r="C21" s="106" t="s">
        <v>298</v>
      </c>
      <c r="D21" s="106"/>
      <c r="E21" s="106"/>
      <c r="F21" s="106"/>
      <c r="G21" s="106"/>
      <c r="H21" s="107" t="s">
        <v>299</v>
      </c>
      <c r="I21" s="107"/>
      <c r="J21" s="107"/>
      <c r="K21" s="107"/>
      <c r="L21" s="107"/>
      <c r="M21" s="107"/>
    </row>
    <row r="22" spans="1:13" x14ac:dyDescent="0.25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</row>
    <row r="23" spans="1:13" ht="24" customHeight="1" x14ac:dyDescent="0.25">
      <c r="A23" s="78" t="s">
        <v>300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</row>
    <row r="24" spans="1:13" ht="39.75" customHeight="1" x14ac:dyDescent="0.25">
      <c r="A24" s="79" t="s">
        <v>5</v>
      </c>
      <c r="B24" s="79" t="s">
        <v>113</v>
      </c>
      <c r="C24" s="79" t="s">
        <v>301</v>
      </c>
      <c r="D24" s="79" t="s">
        <v>302</v>
      </c>
      <c r="E24" s="79" t="s">
        <v>303</v>
      </c>
      <c r="F24" s="79" t="s">
        <v>304</v>
      </c>
      <c r="G24" s="79" t="s">
        <v>305</v>
      </c>
      <c r="H24" s="79" t="s">
        <v>306</v>
      </c>
      <c r="I24" s="79" t="s">
        <v>307</v>
      </c>
      <c r="J24" s="79" t="s">
        <v>308</v>
      </c>
      <c r="K24" s="79" t="s">
        <v>309</v>
      </c>
      <c r="L24" s="79" t="s">
        <v>310</v>
      </c>
      <c r="M24" s="79" t="s">
        <v>62</v>
      </c>
    </row>
    <row r="25" spans="1:13" ht="21.75" customHeight="1" x14ac:dyDescent="0.25">
      <c r="A25" s="80">
        <v>1</v>
      </c>
      <c r="B25" s="80" t="s">
        <v>66</v>
      </c>
      <c r="C25" s="80">
        <v>1</v>
      </c>
      <c r="D25" s="81">
        <f>SUMIFS('🗃️ Raw Data (Sample)'!J:J,'🗃️ Raw Data (Sample)'!A:A,"&gt;="&amp;DATE($C$5,1,1),'🗃️ Raw Data (Sample)'!A:A,"&lt;"&amp;DATE($C$5,1+1,1))</f>
        <v>666938</v>
      </c>
      <c r="E25" s="81">
        <f>SUMIFS('🗃️ Raw Data (Sample)'!I:I,'🗃️ Raw Data (Sample)'!A:A,"&gt;="&amp;DATE($C$5,1,1),'🗃️ Raw Data (Sample)'!A:A,"&lt;"&amp;DATE($C$5,1+1,1))</f>
        <v>447744</v>
      </c>
      <c r="F25" s="81">
        <f t="shared" ref="F25:F36" si="0">D25-E25</f>
        <v>219194</v>
      </c>
      <c r="G25" s="82">
        <f t="shared" ref="G25:G37" si="1">IF(D25&gt;0,F25/D25,0)</f>
        <v>0.32865723650474254</v>
      </c>
      <c r="H25" s="81">
        <f t="shared" ref="H25:H36" si="2">ROUND(D25*$C$6,0)</f>
        <v>33347</v>
      </c>
      <c r="I25" s="81">
        <f t="shared" ref="I25:I36" si="3">ROUND(E25*$C$7,0)</f>
        <v>13432</v>
      </c>
      <c r="J25" s="81">
        <f t="shared" ref="J25:J36" si="4">F25-H25+I25</f>
        <v>199279</v>
      </c>
      <c r="K25" s="83">
        <v>665780</v>
      </c>
      <c r="L25" s="81">
        <f t="shared" ref="L25:L36" si="5">D25-K25</f>
        <v>1158</v>
      </c>
      <c r="M25" s="84" t="str">
        <f t="shared" ref="M25:M36" si="6">IF(L25&gt;=$C$9,"🟢 Grün",IF(L25&gt;$C$10,"🟡 Amber","🔴 Rot"))</f>
        <v>🟢 Grün</v>
      </c>
    </row>
    <row r="26" spans="1:13" ht="21.75" customHeight="1" x14ac:dyDescent="0.25">
      <c r="A26" s="85">
        <v>2</v>
      </c>
      <c r="B26" s="85" t="s">
        <v>67</v>
      </c>
      <c r="C26" s="85">
        <v>2</v>
      </c>
      <c r="D26" s="86">
        <f>SUMIFS('🗃️ Raw Data (Sample)'!J:J,'🗃️ Raw Data (Sample)'!A:A,"&gt;="&amp;DATE($C$5,2,1),'🗃️ Raw Data (Sample)'!A:A,"&lt;"&amp;DATE($C$5,2+1,1))</f>
        <v>128067</v>
      </c>
      <c r="E26" s="86">
        <f>SUMIFS('🗃️ Raw Data (Sample)'!I:I,'🗃️ Raw Data (Sample)'!A:A,"&gt;="&amp;DATE($C$5,2,1),'🗃️ Raw Data (Sample)'!A:A,"&lt;"&amp;DATE($C$5,2+1,1))</f>
        <v>86491</v>
      </c>
      <c r="F26" s="86">
        <f t="shared" si="0"/>
        <v>41576</v>
      </c>
      <c r="G26" s="87">
        <f t="shared" si="1"/>
        <v>0.32464256990481544</v>
      </c>
      <c r="H26" s="86">
        <f t="shared" si="2"/>
        <v>6403</v>
      </c>
      <c r="I26" s="86">
        <f t="shared" si="3"/>
        <v>2595</v>
      </c>
      <c r="J26" s="86">
        <f t="shared" si="4"/>
        <v>37768</v>
      </c>
      <c r="K26" s="88">
        <v>672878</v>
      </c>
      <c r="L26" s="86">
        <f t="shared" si="5"/>
        <v>-544811</v>
      </c>
      <c r="M26" s="89" t="str">
        <f t="shared" si="6"/>
        <v>🔴 Rot</v>
      </c>
    </row>
    <row r="27" spans="1:13" ht="21.75" customHeight="1" x14ac:dyDescent="0.25">
      <c r="A27" s="80">
        <v>3</v>
      </c>
      <c r="B27" s="80" t="s">
        <v>68</v>
      </c>
      <c r="C27" s="80">
        <v>3</v>
      </c>
      <c r="D27" s="81">
        <f>SUMIFS('🗃️ Raw Data (Sample)'!J:J,'🗃️ Raw Data (Sample)'!A:A,"&gt;="&amp;DATE($C$5,3,1),'🗃️ Raw Data (Sample)'!A:A,"&lt;"&amp;DATE($C$5,3+1,1))</f>
        <v>0</v>
      </c>
      <c r="E27" s="81">
        <f>SUMIFS('🗃️ Raw Data (Sample)'!I:I,'🗃️ Raw Data (Sample)'!A:A,"&gt;="&amp;DATE($C$5,3,1),'🗃️ Raw Data (Sample)'!A:A,"&lt;"&amp;DATE($C$5,3+1,1))</f>
        <v>0</v>
      </c>
      <c r="F27" s="81">
        <f t="shared" si="0"/>
        <v>0</v>
      </c>
      <c r="G27" s="82">
        <f t="shared" si="1"/>
        <v>0</v>
      </c>
      <c r="H27" s="81">
        <f t="shared" si="2"/>
        <v>0</v>
      </c>
      <c r="I27" s="81">
        <f t="shared" si="3"/>
        <v>0</v>
      </c>
      <c r="J27" s="81">
        <f t="shared" si="4"/>
        <v>0</v>
      </c>
      <c r="K27" s="83">
        <v>712079</v>
      </c>
      <c r="L27" s="81">
        <f t="shared" si="5"/>
        <v>-712079</v>
      </c>
      <c r="M27" s="84" t="str">
        <f t="shared" si="6"/>
        <v>🔴 Rot</v>
      </c>
    </row>
    <row r="28" spans="1:13" ht="21.75" customHeight="1" x14ac:dyDescent="0.25">
      <c r="A28" s="85">
        <v>4</v>
      </c>
      <c r="B28" s="85" t="s">
        <v>69</v>
      </c>
      <c r="C28" s="85">
        <v>4</v>
      </c>
      <c r="D28" s="86">
        <f>SUMIFS('🗃️ Raw Data (Sample)'!J:J,'🗃️ Raw Data (Sample)'!A:A,"&gt;="&amp;DATE($C$5,4,1),'🗃️ Raw Data (Sample)'!A:A,"&lt;"&amp;DATE($C$5,4+1,1))</f>
        <v>0</v>
      </c>
      <c r="E28" s="86">
        <f>SUMIFS('🗃️ Raw Data (Sample)'!I:I,'🗃️ Raw Data (Sample)'!A:A,"&gt;="&amp;DATE($C$5,4,1),'🗃️ Raw Data (Sample)'!A:A,"&lt;"&amp;DATE($C$5,4+1,1))</f>
        <v>0</v>
      </c>
      <c r="F28" s="86">
        <f t="shared" si="0"/>
        <v>0</v>
      </c>
      <c r="G28" s="87">
        <f t="shared" si="1"/>
        <v>0</v>
      </c>
      <c r="H28" s="86">
        <f t="shared" si="2"/>
        <v>0</v>
      </c>
      <c r="I28" s="86">
        <f t="shared" si="3"/>
        <v>0</v>
      </c>
      <c r="J28" s="86">
        <f t="shared" si="4"/>
        <v>0</v>
      </c>
      <c r="K28" s="88">
        <v>728736</v>
      </c>
      <c r="L28" s="86">
        <f t="shared" si="5"/>
        <v>-728736</v>
      </c>
      <c r="M28" s="89" t="str">
        <f t="shared" si="6"/>
        <v>🔴 Rot</v>
      </c>
    </row>
    <row r="29" spans="1:13" ht="21.75" customHeight="1" x14ac:dyDescent="0.25">
      <c r="A29" s="80">
        <v>5</v>
      </c>
      <c r="B29" s="80" t="s">
        <v>70</v>
      </c>
      <c r="C29" s="80">
        <v>5</v>
      </c>
      <c r="D29" s="81">
        <f>SUMIFS('🗃️ Raw Data (Sample)'!J:J,'🗃️ Raw Data (Sample)'!A:A,"&gt;="&amp;DATE($C$5,5,1),'🗃️ Raw Data (Sample)'!A:A,"&lt;"&amp;DATE($C$5,5+1,1))</f>
        <v>0</v>
      </c>
      <c r="E29" s="81">
        <f>SUMIFS('🗃️ Raw Data (Sample)'!I:I,'🗃️ Raw Data (Sample)'!A:A,"&gt;="&amp;DATE($C$5,5,1),'🗃️ Raw Data (Sample)'!A:A,"&lt;"&amp;DATE($C$5,5+1,1))</f>
        <v>0</v>
      </c>
      <c r="F29" s="81">
        <f t="shared" si="0"/>
        <v>0</v>
      </c>
      <c r="G29" s="82">
        <f t="shared" si="1"/>
        <v>0</v>
      </c>
      <c r="H29" s="81">
        <f t="shared" si="2"/>
        <v>0</v>
      </c>
      <c r="I29" s="81">
        <f t="shared" si="3"/>
        <v>0</v>
      </c>
      <c r="J29" s="81">
        <f t="shared" si="4"/>
        <v>0</v>
      </c>
      <c r="K29" s="83">
        <v>901206</v>
      </c>
      <c r="L29" s="81">
        <f t="shared" si="5"/>
        <v>-901206</v>
      </c>
      <c r="M29" s="84" t="str">
        <f t="shared" si="6"/>
        <v>🔴 Rot</v>
      </c>
    </row>
    <row r="30" spans="1:13" ht="21.75" customHeight="1" x14ac:dyDescent="0.25">
      <c r="A30" s="85">
        <v>6</v>
      </c>
      <c r="B30" s="85" t="s">
        <v>71</v>
      </c>
      <c r="C30" s="85">
        <v>6</v>
      </c>
      <c r="D30" s="86">
        <f>SUMIFS('🗃️ Raw Data (Sample)'!J:J,'🗃️ Raw Data (Sample)'!A:A,"&gt;="&amp;DATE($C$5,6,1),'🗃️ Raw Data (Sample)'!A:A,"&lt;"&amp;DATE($C$5,6+1,1))</f>
        <v>0</v>
      </c>
      <c r="E30" s="86">
        <f>SUMIFS('🗃️ Raw Data (Sample)'!I:I,'🗃️ Raw Data (Sample)'!A:A,"&gt;="&amp;DATE($C$5,6,1),'🗃️ Raw Data (Sample)'!A:A,"&lt;"&amp;DATE($C$5,6+1,1))</f>
        <v>0</v>
      </c>
      <c r="F30" s="86">
        <f t="shared" si="0"/>
        <v>0</v>
      </c>
      <c r="G30" s="87">
        <f t="shared" si="1"/>
        <v>0</v>
      </c>
      <c r="H30" s="86">
        <f t="shared" si="2"/>
        <v>0</v>
      </c>
      <c r="I30" s="86">
        <f t="shared" si="3"/>
        <v>0</v>
      </c>
      <c r="J30" s="86">
        <f t="shared" si="4"/>
        <v>0</v>
      </c>
      <c r="K30" s="88">
        <v>786483</v>
      </c>
      <c r="L30" s="86">
        <f t="shared" si="5"/>
        <v>-786483</v>
      </c>
      <c r="M30" s="89" t="str">
        <f t="shared" si="6"/>
        <v>🔴 Rot</v>
      </c>
    </row>
    <row r="31" spans="1:13" ht="21.75" customHeight="1" x14ac:dyDescent="0.25">
      <c r="A31" s="80">
        <v>7</v>
      </c>
      <c r="B31" s="80" t="s">
        <v>72</v>
      </c>
      <c r="C31" s="80">
        <v>7</v>
      </c>
      <c r="D31" s="81">
        <f>SUMIFS('🗃️ Raw Data (Sample)'!J:J,'🗃️ Raw Data (Sample)'!A:A,"&gt;="&amp;DATE($C$5,7,1),'🗃️ Raw Data (Sample)'!A:A,"&lt;"&amp;DATE($C$5,7+1,1))</f>
        <v>0</v>
      </c>
      <c r="E31" s="81">
        <f>SUMIFS('🗃️ Raw Data (Sample)'!I:I,'🗃️ Raw Data (Sample)'!A:A,"&gt;="&amp;DATE($C$5,7,1),'🗃️ Raw Data (Sample)'!A:A,"&lt;"&amp;DATE($C$5,7+1,1))</f>
        <v>0</v>
      </c>
      <c r="F31" s="81">
        <f t="shared" si="0"/>
        <v>0</v>
      </c>
      <c r="G31" s="82">
        <f t="shared" si="1"/>
        <v>0</v>
      </c>
      <c r="H31" s="81">
        <f t="shared" si="2"/>
        <v>0</v>
      </c>
      <c r="I31" s="81">
        <f t="shared" si="3"/>
        <v>0</v>
      </c>
      <c r="J31" s="81">
        <f t="shared" si="4"/>
        <v>0</v>
      </c>
      <c r="K31" s="83">
        <v>1721640</v>
      </c>
      <c r="L31" s="81">
        <f t="shared" si="5"/>
        <v>-1721640</v>
      </c>
      <c r="M31" s="84" t="str">
        <f t="shared" si="6"/>
        <v>🔴 Rot</v>
      </c>
    </row>
    <row r="32" spans="1:13" ht="21.75" customHeight="1" x14ac:dyDescent="0.25">
      <c r="A32" s="85">
        <v>8</v>
      </c>
      <c r="B32" s="85" t="s">
        <v>73</v>
      </c>
      <c r="C32" s="85">
        <v>8</v>
      </c>
      <c r="D32" s="86">
        <f>SUMIFS('🗃️ Raw Data (Sample)'!J:J,'🗃️ Raw Data (Sample)'!A:A,"&gt;="&amp;DATE($C$5,8,1),'🗃️ Raw Data (Sample)'!A:A,"&lt;"&amp;DATE($C$5,8+1,1))</f>
        <v>0</v>
      </c>
      <c r="E32" s="86">
        <f>SUMIFS('🗃️ Raw Data (Sample)'!I:I,'🗃️ Raw Data (Sample)'!A:A,"&gt;="&amp;DATE($C$5,8,1),'🗃️ Raw Data (Sample)'!A:A,"&lt;"&amp;DATE($C$5,8+1,1))</f>
        <v>0</v>
      </c>
      <c r="F32" s="86">
        <f t="shared" si="0"/>
        <v>0</v>
      </c>
      <c r="G32" s="87">
        <f t="shared" si="1"/>
        <v>0</v>
      </c>
      <c r="H32" s="86">
        <f t="shared" si="2"/>
        <v>0</v>
      </c>
      <c r="I32" s="86">
        <f t="shared" si="3"/>
        <v>0</v>
      </c>
      <c r="J32" s="86">
        <f t="shared" si="4"/>
        <v>0</v>
      </c>
      <c r="K32" s="88">
        <v>2139961</v>
      </c>
      <c r="L32" s="86">
        <f t="shared" si="5"/>
        <v>-2139961</v>
      </c>
      <c r="M32" s="89" t="str">
        <f t="shared" si="6"/>
        <v>🔴 Rot</v>
      </c>
    </row>
    <row r="33" spans="1:13" ht="21.75" customHeight="1" x14ac:dyDescent="0.25">
      <c r="A33" s="80">
        <v>9</v>
      </c>
      <c r="B33" s="80" t="s">
        <v>74</v>
      </c>
      <c r="C33" s="80">
        <v>9</v>
      </c>
      <c r="D33" s="81">
        <f>SUMIFS('🗃️ Raw Data (Sample)'!J:J,'🗃️ Raw Data (Sample)'!A:A,"&gt;="&amp;DATE($C$5,9,1),'🗃️ Raw Data (Sample)'!A:A,"&lt;"&amp;DATE($C$5,9+1,1))</f>
        <v>0</v>
      </c>
      <c r="E33" s="81">
        <f>SUMIFS('🗃️ Raw Data (Sample)'!I:I,'🗃️ Raw Data (Sample)'!A:A,"&gt;="&amp;DATE($C$5,9,1),'🗃️ Raw Data (Sample)'!A:A,"&lt;"&amp;DATE($C$5,9+1,1))</f>
        <v>0</v>
      </c>
      <c r="F33" s="81">
        <f t="shared" si="0"/>
        <v>0</v>
      </c>
      <c r="G33" s="82">
        <f t="shared" si="1"/>
        <v>0</v>
      </c>
      <c r="H33" s="81">
        <f t="shared" si="2"/>
        <v>0</v>
      </c>
      <c r="I33" s="81">
        <f t="shared" si="3"/>
        <v>0</v>
      </c>
      <c r="J33" s="81">
        <f t="shared" si="4"/>
        <v>0</v>
      </c>
      <c r="K33" s="83">
        <v>2459901</v>
      </c>
      <c r="L33" s="81">
        <f t="shared" si="5"/>
        <v>-2459901</v>
      </c>
      <c r="M33" s="84" t="str">
        <f t="shared" si="6"/>
        <v>🔴 Rot</v>
      </c>
    </row>
    <row r="34" spans="1:13" ht="21.75" customHeight="1" x14ac:dyDescent="0.25">
      <c r="A34" s="85">
        <v>10</v>
      </c>
      <c r="B34" s="85" t="s">
        <v>75</v>
      </c>
      <c r="C34" s="85">
        <v>10</v>
      </c>
      <c r="D34" s="86">
        <f>SUMIFS('🗃️ Raw Data (Sample)'!J:J,'🗃️ Raw Data (Sample)'!A:A,"&gt;="&amp;DATE($C$5,10,1),'🗃️ Raw Data (Sample)'!A:A,"&lt;"&amp;DATE($C$5,10+1,1))</f>
        <v>0</v>
      </c>
      <c r="E34" s="86">
        <f>SUMIFS('🗃️ Raw Data (Sample)'!I:I,'🗃️ Raw Data (Sample)'!A:A,"&gt;="&amp;DATE($C$5,10,1),'🗃️ Raw Data (Sample)'!A:A,"&lt;"&amp;DATE($C$5,10+1,1))</f>
        <v>0</v>
      </c>
      <c r="F34" s="86">
        <f t="shared" si="0"/>
        <v>0</v>
      </c>
      <c r="G34" s="87">
        <f t="shared" si="1"/>
        <v>0</v>
      </c>
      <c r="H34" s="86">
        <f t="shared" si="2"/>
        <v>0</v>
      </c>
      <c r="I34" s="86">
        <f t="shared" si="3"/>
        <v>0</v>
      </c>
      <c r="J34" s="86">
        <f t="shared" si="4"/>
        <v>0</v>
      </c>
      <c r="K34" s="88">
        <v>2538826</v>
      </c>
      <c r="L34" s="86">
        <f t="shared" si="5"/>
        <v>-2538826</v>
      </c>
      <c r="M34" s="89" t="str">
        <f t="shared" si="6"/>
        <v>🔴 Rot</v>
      </c>
    </row>
    <row r="35" spans="1:13" ht="21.75" customHeight="1" x14ac:dyDescent="0.25">
      <c r="A35" s="80">
        <v>11</v>
      </c>
      <c r="B35" s="80" t="s">
        <v>76</v>
      </c>
      <c r="C35" s="80">
        <v>11</v>
      </c>
      <c r="D35" s="81">
        <f>SUMIFS('🗃️ Raw Data (Sample)'!J:J,'🗃️ Raw Data (Sample)'!A:A,"&gt;="&amp;DATE($C$5,11,1),'🗃️ Raw Data (Sample)'!A:A,"&lt;"&amp;DATE($C$5,11+1,1))</f>
        <v>0</v>
      </c>
      <c r="E35" s="81">
        <f>SUMIFS('🗃️ Raw Data (Sample)'!I:I,'🗃️ Raw Data (Sample)'!A:A,"&gt;="&amp;DATE($C$5,11,1),'🗃️ Raw Data (Sample)'!A:A,"&lt;"&amp;DATE($C$5,11+1,1))</f>
        <v>0</v>
      </c>
      <c r="F35" s="81">
        <f t="shared" si="0"/>
        <v>0</v>
      </c>
      <c r="G35" s="82">
        <f t="shared" si="1"/>
        <v>0</v>
      </c>
      <c r="H35" s="81">
        <f t="shared" si="2"/>
        <v>0</v>
      </c>
      <c r="I35" s="81">
        <f t="shared" si="3"/>
        <v>0</v>
      </c>
      <c r="J35" s="81">
        <f t="shared" si="4"/>
        <v>0</v>
      </c>
      <c r="K35" s="83">
        <v>2835230</v>
      </c>
      <c r="L35" s="81">
        <f t="shared" si="5"/>
        <v>-2835230</v>
      </c>
      <c r="M35" s="84" t="str">
        <f t="shared" si="6"/>
        <v>🔴 Rot</v>
      </c>
    </row>
    <row r="36" spans="1:13" ht="21.75" customHeight="1" x14ac:dyDescent="0.25">
      <c r="A36" s="85">
        <v>12</v>
      </c>
      <c r="B36" s="85" t="s">
        <v>3</v>
      </c>
      <c r="C36" s="85">
        <v>12</v>
      </c>
      <c r="D36" s="86">
        <f>SUMIFS('🗃️ Raw Data (Sample)'!J:J,'🗃️ Raw Data (Sample)'!A:A,"&gt;="&amp;DATE($C$5,12,1),'🗃️ Raw Data (Sample)'!A:A,"&lt;"&amp;DATE($C$5+1,1,1))</f>
        <v>0</v>
      </c>
      <c r="E36" s="86">
        <f>SUMIFS('🗃️ Raw Data (Sample)'!I:I,'🗃️ Raw Data (Sample)'!A:A,"&gt;="&amp;DATE($C$5,12,1),'🗃️ Raw Data (Sample)'!A:A,"&lt;"&amp;DATE($C$5+1,1,1))</f>
        <v>0</v>
      </c>
      <c r="F36" s="86">
        <f t="shared" si="0"/>
        <v>0</v>
      </c>
      <c r="G36" s="87">
        <f t="shared" si="1"/>
        <v>0</v>
      </c>
      <c r="H36" s="86">
        <f t="shared" si="2"/>
        <v>0</v>
      </c>
      <c r="I36" s="86">
        <f t="shared" si="3"/>
        <v>0</v>
      </c>
      <c r="J36" s="86">
        <f t="shared" si="4"/>
        <v>0</v>
      </c>
      <c r="K36" s="88">
        <v>3849604</v>
      </c>
      <c r="L36" s="86">
        <f t="shared" si="5"/>
        <v>-3849604</v>
      </c>
      <c r="M36" s="89" t="str">
        <f t="shared" si="6"/>
        <v>🔴 Rot</v>
      </c>
    </row>
    <row r="37" spans="1:13" ht="24" customHeight="1" x14ac:dyDescent="0.25">
      <c r="A37" s="78" t="s">
        <v>77</v>
      </c>
      <c r="B37" s="78"/>
      <c r="C37" s="78"/>
      <c r="D37" s="90">
        <f>SUM(D25:D36)</f>
        <v>795005</v>
      </c>
      <c r="E37" s="90">
        <f>SUM(E25:E36)</f>
        <v>534235</v>
      </c>
      <c r="F37" s="90">
        <f>SUM(F25:F36)</f>
        <v>260770</v>
      </c>
      <c r="G37" s="91">
        <f t="shared" si="1"/>
        <v>0.32801051565713424</v>
      </c>
      <c r="H37" s="90">
        <f>SUM(I25:I36)</f>
        <v>16027</v>
      </c>
      <c r="I37" s="90">
        <f>SUM(J25:J36)</f>
        <v>237047</v>
      </c>
      <c r="J37" s="90">
        <f>SUM(K25:K36)</f>
        <v>20012324</v>
      </c>
      <c r="K37" s="90">
        <f>SUM(L25:L36)</f>
        <v>-19217319</v>
      </c>
      <c r="L37" s="58"/>
      <c r="M37" s="58"/>
    </row>
    <row r="38" spans="1:13" x14ac:dyDescent="0.25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</row>
    <row r="39" spans="1:13" ht="21.75" customHeight="1" x14ac:dyDescent="0.25">
      <c r="A39" s="78" t="s">
        <v>311</v>
      </c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</row>
    <row r="40" spans="1:13" ht="31.5" customHeight="1" x14ac:dyDescent="0.25">
      <c r="A40" s="92" t="s">
        <v>312</v>
      </c>
      <c r="B40" s="92"/>
      <c r="C40" s="92"/>
      <c r="D40" s="92" t="s">
        <v>313</v>
      </c>
      <c r="E40" s="92"/>
      <c r="F40" s="92"/>
      <c r="G40" s="92" t="s">
        <v>314</v>
      </c>
      <c r="H40" s="92"/>
      <c r="I40" s="92"/>
      <c r="J40" s="92" t="s">
        <v>315</v>
      </c>
      <c r="K40" s="92"/>
      <c r="L40" s="92"/>
      <c r="M40" s="92"/>
    </row>
    <row r="41" spans="1:13" ht="39.75" customHeight="1" x14ac:dyDescent="0.25">
      <c r="A41" s="93" t="s">
        <v>316</v>
      </c>
      <c r="B41" s="93"/>
      <c r="C41" s="93"/>
      <c r="D41" s="94" t="s">
        <v>317</v>
      </c>
      <c r="E41" s="94"/>
      <c r="F41" s="94"/>
      <c r="G41" s="94"/>
      <c r="H41" s="94" t="s">
        <v>318</v>
      </c>
      <c r="I41" s="94"/>
      <c r="J41" s="94"/>
      <c r="K41" s="94"/>
      <c r="L41" s="95" t="s">
        <v>319</v>
      </c>
      <c r="M41" s="95"/>
    </row>
    <row r="42" spans="1:13" ht="39.75" customHeight="1" x14ac:dyDescent="0.25">
      <c r="A42" s="96" t="s">
        <v>320</v>
      </c>
      <c r="B42" s="96"/>
      <c r="C42" s="96"/>
      <c r="D42" s="97" t="s">
        <v>321</v>
      </c>
      <c r="E42" s="97"/>
      <c r="F42" s="97"/>
      <c r="G42" s="97"/>
      <c r="H42" s="97" t="s">
        <v>322</v>
      </c>
      <c r="I42" s="97"/>
      <c r="J42" s="97"/>
      <c r="K42" s="97"/>
      <c r="L42" s="95" t="s">
        <v>323</v>
      </c>
      <c r="M42" s="95"/>
    </row>
    <row r="43" spans="1:13" ht="39.75" customHeight="1" x14ac:dyDescent="0.25">
      <c r="A43" s="93" t="s">
        <v>324</v>
      </c>
      <c r="B43" s="93"/>
      <c r="C43" s="93"/>
      <c r="D43" s="94" t="s">
        <v>325</v>
      </c>
      <c r="E43" s="94"/>
      <c r="F43" s="94"/>
      <c r="G43" s="94"/>
      <c r="H43" s="94" t="s">
        <v>326</v>
      </c>
      <c r="I43" s="94"/>
      <c r="J43" s="94"/>
      <c r="K43" s="94"/>
      <c r="L43" s="95" t="s">
        <v>327</v>
      </c>
      <c r="M43" s="95"/>
    </row>
    <row r="44" spans="1:13" ht="39.75" customHeight="1" x14ac:dyDescent="0.25">
      <c r="A44" s="96" t="s">
        <v>328</v>
      </c>
      <c r="B44" s="96"/>
      <c r="C44" s="96"/>
      <c r="D44" s="97" t="s">
        <v>329</v>
      </c>
      <c r="E44" s="97"/>
      <c r="F44" s="97"/>
      <c r="G44" s="97"/>
      <c r="H44" s="97" t="s">
        <v>330</v>
      </c>
      <c r="I44" s="97"/>
      <c r="J44" s="97"/>
      <c r="K44" s="97"/>
      <c r="L44" s="95" t="s">
        <v>331</v>
      </c>
      <c r="M44" s="95"/>
    </row>
  </sheetData>
  <mergeCells count="51">
    <mergeCell ref="A43:C43"/>
    <mergeCell ref="D43:G43"/>
    <mergeCell ref="H43:K43"/>
    <mergeCell ref="L43:M43"/>
    <mergeCell ref="A44:C44"/>
    <mergeCell ref="D44:G44"/>
    <mergeCell ref="H44:K44"/>
    <mergeCell ref="L44:M44"/>
    <mergeCell ref="A41:C41"/>
    <mergeCell ref="D41:G41"/>
    <mergeCell ref="H41:K41"/>
    <mergeCell ref="L41:M41"/>
    <mergeCell ref="A42:C42"/>
    <mergeCell ref="D42:G42"/>
    <mergeCell ref="H42:K42"/>
    <mergeCell ref="L42:M42"/>
    <mergeCell ref="A23:M23"/>
    <mergeCell ref="A37:C37"/>
    <mergeCell ref="A39:M39"/>
    <mergeCell ref="A40:C40"/>
    <mergeCell ref="D40:F40"/>
    <mergeCell ref="G40:I40"/>
    <mergeCell ref="J40:M40"/>
    <mergeCell ref="C19:G19"/>
    <mergeCell ref="H19:M19"/>
    <mergeCell ref="C20:G20"/>
    <mergeCell ref="H20:M20"/>
    <mergeCell ref="C21:G21"/>
    <mergeCell ref="H21:M21"/>
    <mergeCell ref="C16:G16"/>
    <mergeCell ref="H16:M16"/>
    <mergeCell ref="C17:G17"/>
    <mergeCell ref="H17:M17"/>
    <mergeCell ref="C18:G18"/>
    <mergeCell ref="H18:M18"/>
    <mergeCell ref="C13:G13"/>
    <mergeCell ref="H13:M13"/>
    <mergeCell ref="C14:G14"/>
    <mergeCell ref="H14:M14"/>
    <mergeCell ref="C15:G15"/>
    <mergeCell ref="H15:M15"/>
    <mergeCell ref="D7:M7"/>
    <mergeCell ref="D8:M8"/>
    <mergeCell ref="D9:M9"/>
    <mergeCell ref="D10:M10"/>
    <mergeCell ref="A12:M12"/>
    <mergeCell ref="A1:M1"/>
    <mergeCell ref="A2:M2"/>
    <mergeCell ref="A4:M4"/>
    <mergeCell ref="D5:M5"/>
    <mergeCell ref="D6:M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4"/>
  <sheetViews>
    <sheetView showGridLines="0" zoomScaleNormal="100" workbookViewId="0">
      <selection activeCell="L68" sqref="L68"/>
    </sheetView>
  </sheetViews>
  <sheetFormatPr baseColWidth="10" defaultColWidth="8.7109375" defaultRowHeight="15" x14ac:dyDescent="0.25"/>
  <cols>
    <col min="1" max="1" width="10.28515625" customWidth="1"/>
    <col min="2" max="2" width="14" customWidth="1"/>
    <col min="3" max="4" width="16" customWidth="1"/>
    <col min="5" max="8" width="14" customWidth="1"/>
    <col min="9" max="9" width="21.140625" customWidth="1"/>
  </cols>
  <sheetData>
    <row r="1" spans="1:9" ht="27.75" customHeight="1" x14ac:dyDescent="0.25">
      <c r="A1" s="98" t="s">
        <v>332</v>
      </c>
      <c r="B1" s="98"/>
      <c r="C1" s="98"/>
      <c r="D1" s="98"/>
      <c r="E1" s="98"/>
      <c r="F1" s="98"/>
      <c r="G1" s="98"/>
      <c r="H1" s="98"/>
      <c r="I1" s="98"/>
    </row>
    <row r="2" spans="1:9" ht="24" customHeight="1" x14ac:dyDescent="0.25">
      <c r="A2" s="99" t="s">
        <v>333</v>
      </c>
      <c r="B2" s="99"/>
      <c r="C2" s="99"/>
      <c r="D2" s="99"/>
      <c r="E2" s="99"/>
      <c r="F2" s="99"/>
      <c r="G2" s="99"/>
      <c r="H2" s="99"/>
      <c r="I2" s="99"/>
    </row>
    <row r="3" spans="1:9" ht="25.5" customHeight="1" x14ac:dyDescent="0.25">
      <c r="A3" s="110" t="s">
        <v>334</v>
      </c>
      <c r="B3" s="110"/>
      <c r="C3" s="110"/>
      <c r="D3" s="110"/>
      <c r="E3" s="110"/>
      <c r="F3" s="110"/>
      <c r="G3" s="110"/>
      <c r="H3" s="110"/>
      <c r="I3" s="110"/>
    </row>
    <row r="4" spans="1:9" x14ac:dyDescent="0.25">
      <c r="A4" s="58"/>
      <c r="B4" s="58"/>
      <c r="C4" s="58"/>
      <c r="D4" s="58"/>
      <c r="E4" s="58"/>
      <c r="F4" s="58"/>
      <c r="G4" s="58"/>
      <c r="H4" s="58"/>
      <c r="I4" s="58"/>
    </row>
    <row r="5" spans="1:9" ht="21.75" customHeight="1" x14ac:dyDescent="0.25">
      <c r="A5" s="78" t="s">
        <v>335</v>
      </c>
      <c r="B5" s="78"/>
      <c r="C5" s="78"/>
      <c r="D5" s="78"/>
      <c r="E5" s="78"/>
      <c r="F5" s="78"/>
      <c r="G5" s="78"/>
      <c r="H5" s="78"/>
      <c r="I5" s="78"/>
    </row>
    <row r="6" spans="1:9" ht="36" customHeight="1" x14ac:dyDescent="0.25">
      <c r="A6" s="111" t="s">
        <v>53</v>
      </c>
      <c r="B6" s="111" t="s">
        <v>336</v>
      </c>
      <c r="C6" s="111" t="s">
        <v>337</v>
      </c>
      <c r="D6" s="111" t="s">
        <v>338</v>
      </c>
      <c r="E6" s="111" t="s">
        <v>339</v>
      </c>
      <c r="F6" s="111" t="s">
        <v>340</v>
      </c>
      <c r="G6" s="111" t="s">
        <v>341</v>
      </c>
      <c r="H6" s="111" t="s">
        <v>342</v>
      </c>
      <c r="I6" s="111" t="s">
        <v>343</v>
      </c>
    </row>
    <row r="7" spans="1:9" ht="24" customHeight="1" x14ac:dyDescent="0.25">
      <c r="A7" s="112">
        <v>2015</v>
      </c>
      <c r="B7" s="113">
        <f>SUMIFS('🗃️ Raw Data (Sample)'!J:J,'🗃️ Raw Data (Sample)'!A:A,"&gt;="&amp;DATE(2015,1,1),'🗃️ Raw Data (Sample)'!A:A,"&lt;"&amp;DATE(2016,1,1))</f>
        <v>795005</v>
      </c>
      <c r="C7" s="113">
        <f>SUMIFS('🗃️ Raw Data (Sample)'!I:I,'🗃️ Raw Data (Sample)'!A:A,"&gt;="&amp;DATE(2015,1,1),'🗃️ Raw Data (Sample)'!A:A,"&lt;"&amp;DATE(2016,1,1))</f>
        <v>534235</v>
      </c>
      <c r="D7" s="113">
        <f>B7-C7</f>
        <v>260770</v>
      </c>
      <c r="E7" s="114">
        <f>IF(B7&gt;0,D7/B7,0)</f>
        <v>0.32801051565713424</v>
      </c>
      <c r="F7" s="115">
        <v>20012324</v>
      </c>
      <c r="G7" s="113">
        <f>B7-F7</f>
        <v>-19217319</v>
      </c>
      <c r="H7" s="116">
        <f>IF(F7&gt;0,G7/F7,0)</f>
        <v>-0.96027422902007786</v>
      </c>
      <c r="I7" s="117" t="str">
        <f>IF(H7&gt;=0.03,"🟢 Ziel erreicht / On target",IF(H7&gt;=-0.03,"🟡 Im Rahmen / Within range","🔴 Unter Plan / Below budget"))</f>
        <v>🔴 Unter Plan / Below budget</v>
      </c>
    </row>
    <row r="8" spans="1:9" x14ac:dyDescent="0.25">
      <c r="A8" s="58"/>
      <c r="B8" s="58"/>
      <c r="C8" s="58"/>
      <c r="D8" s="58"/>
      <c r="E8" s="58"/>
      <c r="F8" s="58"/>
      <c r="G8" s="58"/>
      <c r="H8" s="58"/>
      <c r="I8" s="58"/>
    </row>
    <row r="9" spans="1:9" ht="36" customHeight="1" x14ac:dyDescent="0.25">
      <c r="A9" s="118" t="s">
        <v>344</v>
      </c>
      <c r="B9" s="118"/>
      <c r="C9" s="118"/>
      <c r="D9" s="118"/>
      <c r="E9" s="118"/>
      <c r="F9" s="118"/>
      <c r="G9" s="118"/>
      <c r="H9" s="118"/>
      <c r="I9" s="118"/>
    </row>
    <row r="10" spans="1:9" x14ac:dyDescent="0.25">
      <c r="A10" s="58"/>
      <c r="B10" s="58"/>
      <c r="C10" s="58"/>
      <c r="D10" s="58"/>
      <c r="E10" s="58"/>
      <c r="F10" s="58"/>
      <c r="G10" s="58"/>
      <c r="H10" s="58"/>
      <c r="I10" s="58"/>
    </row>
    <row r="11" spans="1:9" ht="21.75" customHeight="1" x14ac:dyDescent="0.25">
      <c r="A11" s="78" t="s">
        <v>345</v>
      </c>
      <c r="B11" s="78"/>
      <c r="C11" s="78"/>
      <c r="D11" s="78"/>
      <c r="E11" s="78"/>
      <c r="F11" s="78"/>
      <c r="G11" s="78"/>
      <c r="H11" s="78"/>
      <c r="I11" s="78"/>
    </row>
    <row r="12" spans="1:9" ht="36" customHeight="1" x14ac:dyDescent="0.25">
      <c r="A12" s="79" t="s">
        <v>5</v>
      </c>
      <c r="B12" s="79" t="s">
        <v>346</v>
      </c>
      <c r="C12" s="79" t="s">
        <v>336</v>
      </c>
      <c r="D12" s="79" t="s">
        <v>347</v>
      </c>
      <c r="E12" s="79" t="s">
        <v>348</v>
      </c>
      <c r="F12" s="79" t="s">
        <v>349</v>
      </c>
      <c r="G12" s="79" t="s">
        <v>350</v>
      </c>
      <c r="H12" s="79" t="s">
        <v>343</v>
      </c>
      <c r="I12" s="79" t="s">
        <v>351</v>
      </c>
    </row>
    <row r="13" spans="1:9" ht="24" customHeight="1" x14ac:dyDescent="0.25">
      <c r="A13" s="85">
        <v>1</v>
      </c>
      <c r="B13" s="119" t="s">
        <v>352</v>
      </c>
      <c r="C13" s="120">
        <f>SUMIFS('🗃️ Raw Data (Sample)'!J:J,'🗃️ Raw Data (Sample)'!D:D,B13)</f>
        <v>0</v>
      </c>
      <c r="D13" s="120">
        <f>SUMIFS('🗃️ Raw Data (Sample)'!I:I,'🗃️ Raw Data (Sample)'!D:D,B13)</f>
        <v>0</v>
      </c>
      <c r="E13" s="120">
        <f>C13-D13</f>
        <v>0</v>
      </c>
      <c r="F13" s="121">
        <f>IF(C13&gt;0,E13/C13,0)</f>
        <v>0</v>
      </c>
      <c r="G13" s="122">
        <f>IF(C16&gt;0,C13/C16,0)</f>
        <v>0</v>
      </c>
      <c r="H13" s="123" t="str">
        <f>IF(F13&gt;=0.5,"✅ Stark/Strong",IF(F13&gt;=0.33,"⚠️ Mittel/Medium","❌ Schwach/Weak"))</f>
        <v>❌ Schwach/Weak</v>
      </c>
      <c r="I13" s="124" t="s">
        <v>353</v>
      </c>
    </row>
    <row r="14" spans="1:9" ht="24" customHeight="1" x14ac:dyDescent="0.25">
      <c r="A14" s="80">
        <v>2</v>
      </c>
      <c r="B14" s="125" t="s">
        <v>245</v>
      </c>
      <c r="C14" s="113">
        <f>SUMIFS('🗃️ Raw Data (Sample)'!J:J,'🗃️ Raw Data (Sample)'!D:D,B14)</f>
        <v>795005</v>
      </c>
      <c r="D14" s="113">
        <f>SUMIFS('🗃️ Raw Data (Sample)'!I:I,'🗃️ Raw Data (Sample)'!D:D,B14)</f>
        <v>534235</v>
      </c>
      <c r="E14" s="113">
        <f>C14-D14</f>
        <v>260770</v>
      </c>
      <c r="F14" s="121">
        <f>IF(C14&gt;0,E14/C14,0)</f>
        <v>0.32801051565713424</v>
      </c>
      <c r="G14" s="114">
        <f>IF(C16&gt;0,C14/C16,0)</f>
        <v>1</v>
      </c>
      <c r="H14" s="126" t="str">
        <f>IF(F14&gt;=0.5,"✅ Stark/Strong",IF(F14&gt;=0.33,"⚠️ Mittel/Medium","❌ Schwach/Weak"))</f>
        <v>❌ Schwach/Weak</v>
      </c>
      <c r="I14" s="127" t="s">
        <v>354</v>
      </c>
    </row>
    <row r="15" spans="1:9" ht="24" customHeight="1" x14ac:dyDescent="0.25">
      <c r="A15" s="85">
        <v>3</v>
      </c>
      <c r="B15" s="119" t="s">
        <v>355</v>
      </c>
      <c r="C15" s="120">
        <f>SUMIFS('🗃️ Raw Data (Sample)'!J:J,'🗃️ Raw Data (Sample)'!D:D,B15)</f>
        <v>0</v>
      </c>
      <c r="D15" s="120">
        <f>SUMIFS('🗃️ Raw Data (Sample)'!I:I,'🗃️ Raw Data (Sample)'!D:D,B15)</f>
        <v>0</v>
      </c>
      <c r="E15" s="120">
        <f>C15-D15</f>
        <v>0</v>
      </c>
      <c r="F15" s="121">
        <f>IF(C15&gt;0,E15/C15,0)</f>
        <v>0</v>
      </c>
      <c r="G15" s="122">
        <f>IF(C16&gt;0,C15/C16,0)</f>
        <v>0</v>
      </c>
      <c r="H15" s="123" t="str">
        <f>IF(F15&gt;=0.5,"✅ Stark/Strong",IF(F15&gt;=0.33,"⚠️ Mittel/Medium","❌ Schwach/Weak"))</f>
        <v>❌ Schwach/Weak</v>
      </c>
      <c r="I15" s="124" t="s">
        <v>356</v>
      </c>
    </row>
    <row r="16" spans="1:9" ht="21.75" customHeight="1" x14ac:dyDescent="0.25">
      <c r="A16" s="92" t="s">
        <v>357</v>
      </c>
      <c r="B16" s="92"/>
      <c r="C16" s="128">
        <f>SUM(C13:C15)</f>
        <v>795005</v>
      </c>
      <c r="D16" s="128">
        <f>SUM(D13:D15)</f>
        <v>534235</v>
      </c>
      <c r="E16" s="128">
        <f>SUM(E13:E15)</f>
        <v>260770</v>
      </c>
      <c r="F16" s="129">
        <f>IF(C16&gt;0,E16/C16,0)</f>
        <v>0.32801051565713424</v>
      </c>
      <c r="G16" s="58"/>
      <c r="H16" s="58"/>
      <c r="I16" s="58"/>
    </row>
    <row r="24" spans="1:14" ht="21.75" customHeight="1" x14ac:dyDescent="0.25">
      <c r="A24" s="50" t="s">
        <v>358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</row>
  </sheetData>
  <mergeCells count="8">
    <mergeCell ref="A11:I11"/>
    <mergeCell ref="A16:B16"/>
    <mergeCell ref="A24:N24"/>
    <mergeCell ref="A1:I1"/>
    <mergeCell ref="A2:I2"/>
    <mergeCell ref="A3:I3"/>
    <mergeCell ref="A5:I5"/>
    <mergeCell ref="A9:I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8"/>
  <sheetViews>
    <sheetView showGridLines="0" zoomScaleNormal="100" workbookViewId="0">
      <selection activeCell="N9" sqref="N9"/>
    </sheetView>
  </sheetViews>
  <sheetFormatPr baseColWidth="10" defaultColWidth="8.7109375" defaultRowHeight="15" x14ac:dyDescent="0.25"/>
  <cols>
    <col min="1" max="1" width="16.42578125" customWidth="1"/>
    <col min="2" max="2" width="12" customWidth="1"/>
    <col min="3" max="4" width="16" customWidth="1"/>
    <col min="5" max="5" width="14" customWidth="1"/>
    <col min="6" max="6" width="12" customWidth="1"/>
    <col min="7" max="7" width="10" customWidth="1"/>
    <col min="8" max="8" width="12" customWidth="1"/>
    <col min="9" max="10" width="16" customWidth="1"/>
    <col min="11" max="11" width="14" customWidth="1"/>
  </cols>
  <sheetData>
    <row r="1" spans="1:11" ht="27.75" customHeight="1" x14ac:dyDescent="0.25">
      <c r="A1" s="98" t="s">
        <v>359</v>
      </c>
      <c r="B1" s="98"/>
      <c r="C1" s="98"/>
      <c r="D1" s="98"/>
      <c r="E1" s="98"/>
      <c r="F1" s="98"/>
      <c r="G1" s="98"/>
      <c r="H1" s="98"/>
      <c r="I1" s="98"/>
      <c r="J1" s="98"/>
      <c r="K1" s="98"/>
    </row>
    <row r="2" spans="1:11" ht="24" customHeight="1" x14ac:dyDescent="0.25">
      <c r="A2" s="99" t="s">
        <v>360</v>
      </c>
      <c r="B2" s="99"/>
      <c r="C2" s="99"/>
      <c r="D2" s="99"/>
      <c r="E2" s="99"/>
      <c r="F2" s="99"/>
      <c r="G2" s="99"/>
      <c r="H2" s="99"/>
      <c r="I2" s="99"/>
      <c r="J2" s="99"/>
      <c r="K2" s="99"/>
    </row>
    <row r="3" spans="1:11" ht="19.5" customHeight="1" x14ac:dyDescent="0.25">
      <c r="A3" s="110" t="s">
        <v>334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</row>
    <row r="4" spans="1:11" x14ac:dyDescent="0.25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</row>
    <row r="5" spans="1:11" ht="19.5" customHeight="1" x14ac:dyDescent="0.25">
      <c r="A5" s="92" t="s">
        <v>361</v>
      </c>
      <c r="B5" s="92"/>
      <c r="C5" s="92"/>
      <c r="D5" s="92"/>
      <c r="E5" s="92"/>
      <c r="F5" s="92"/>
      <c r="G5" s="92"/>
      <c r="H5" s="92"/>
      <c r="I5" s="92"/>
      <c r="J5" s="92"/>
      <c r="K5" s="92"/>
    </row>
    <row r="6" spans="1:11" ht="19.5" customHeight="1" x14ac:dyDescent="0.25">
      <c r="A6" s="130" t="s">
        <v>362</v>
      </c>
      <c r="B6" s="130"/>
      <c r="C6" s="130"/>
      <c r="D6" s="131">
        <v>0.03</v>
      </c>
      <c r="E6" s="130" t="s">
        <v>363</v>
      </c>
      <c r="F6" s="130"/>
      <c r="G6" s="130"/>
      <c r="H6" s="131">
        <v>-0.03</v>
      </c>
      <c r="I6" s="132" t="s">
        <v>364</v>
      </c>
      <c r="J6" s="132"/>
      <c r="K6" s="132"/>
    </row>
    <row r="7" spans="1:11" x14ac:dyDescent="0.25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</row>
    <row r="8" spans="1:11" ht="21.75" customHeight="1" x14ac:dyDescent="0.25">
      <c r="A8" s="78" t="s">
        <v>365</v>
      </c>
      <c r="B8" s="78"/>
      <c r="C8" s="78"/>
      <c r="D8" s="78"/>
      <c r="E8" s="78"/>
      <c r="F8" s="78"/>
      <c r="G8" s="78"/>
      <c r="H8" s="78"/>
      <c r="I8" s="78"/>
      <c r="J8" s="78"/>
      <c r="K8" s="78"/>
    </row>
    <row r="9" spans="1:11" ht="39.75" customHeight="1" x14ac:dyDescent="0.25">
      <c r="A9" s="79" t="s">
        <v>5</v>
      </c>
      <c r="B9" s="79" t="s">
        <v>113</v>
      </c>
      <c r="C9" s="79" t="s">
        <v>366</v>
      </c>
      <c r="D9" s="79" t="s">
        <v>367</v>
      </c>
      <c r="E9" s="79" t="s">
        <v>340</v>
      </c>
      <c r="F9" s="79" t="s">
        <v>368</v>
      </c>
      <c r="G9" s="79" t="s">
        <v>369</v>
      </c>
      <c r="H9" s="79" t="s">
        <v>370</v>
      </c>
      <c r="I9" s="79" t="s">
        <v>371</v>
      </c>
      <c r="J9" s="79" t="s">
        <v>372</v>
      </c>
      <c r="K9" s="79" t="s">
        <v>373</v>
      </c>
    </row>
    <row r="10" spans="1:11" ht="21.75" customHeight="1" x14ac:dyDescent="0.25">
      <c r="A10" s="80">
        <v>1</v>
      </c>
      <c r="B10" s="133" t="s">
        <v>66</v>
      </c>
      <c r="C10" s="134">
        <v>1</v>
      </c>
      <c r="D10" s="113">
        <f>SUMIFS('🗃️ Raw Data (Sample)'!J:J,'🗃️ Raw Data (Sample)'!A:A,"&gt;="&amp;DATE(2015,C10,1),'🗃️ Raw Data (Sample)'!A:A,"&lt;"&amp;DATE(2015,C10+1,1))</f>
        <v>666938</v>
      </c>
      <c r="E10" s="115">
        <v>665780</v>
      </c>
      <c r="F10" s="113">
        <f t="shared" ref="F10:F21" si="0">D10-E10</f>
        <v>1158</v>
      </c>
      <c r="G10" s="135">
        <f t="shared" ref="G10:G22" si="1">IF(E10&gt;0,F10/E10,0)</f>
        <v>1.7393132866712728E-3</v>
      </c>
      <c r="H10" s="136" t="str">
        <f t="shared" ref="H10:H21" si="2">IF(G10&gt;=$D$6,"🟢 Grün/Green",IF(G10&gt;$H$6,"🟡 Amber","🔴 Rot/Red"))</f>
        <v>🟡 Amber</v>
      </c>
      <c r="I10" s="114">
        <f t="shared" ref="I10:I22" si="3">IF(D10&gt;0,J10/D10,0)</f>
        <v>0.32865723650474254</v>
      </c>
      <c r="J10" s="113">
        <f>SUMIFS('🗃️ Raw Data (Sample)'!K:K,'🗃️ Raw Data (Sample)'!A:A,"&gt;="&amp;DATE(2015,C10,1),'🗃️ Raw Data (Sample)'!A:A,"&lt;"&amp;DATE(2015,C10+1,1))</f>
        <v>219194</v>
      </c>
      <c r="K10" s="115">
        <v>250333</v>
      </c>
    </row>
    <row r="11" spans="1:11" ht="21.75" customHeight="1" x14ac:dyDescent="0.25">
      <c r="A11" s="85">
        <v>2</v>
      </c>
      <c r="B11" s="137" t="s">
        <v>67</v>
      </c>
      <c r="C11" s="138">
        <v>2</v>
      </c>
      <c r="D11" s="120">
        <f>SUMIFS('🗃️ Raw Data (Sample)'!J:J,'🗃️ Raw Data (Sample)'!A:A,"&gt;="&amp;DATE(2015,C11,1),'🗃️ Raw Data (Sample)'!A:A,"&lt;"&amp;DATE(2015,C11+1,1))</f>
        <v>128067</v>
      </c>
      <c r="E11" s="139">
        <v>672878</v>
      </c>
      <c r="F11" s="120">
        <f t="shared" si="0"/>
        <v>-544811</v>
      </c>
      <c r="G11" s="135">
        <f t="shared" si="1"/>
        <v>-0.80967277872065957</v>
      </c>
      <c r="H11" s="136" t="str">
        <f t="shared" si="2"/>
        <v>🔴 Rot/Red</v>
      </c>
      <c r="I11" s="122">
        <f t="shared" si="3"/>
        <v>0.32464256990481544</v>
      </c>
      <c r="J11" s="120">
        <f>SUMIFS('🗃️ Raw Data (Sample)'!K:K,'🗃️ Raw Data (Sample)'!A:A,"&gt;="&amp;DATE(2015,C11,1),'🗃️ Raw Data (Sample)'!A:A,"&lt;"&amp;DATE(2015,C11+1,1))</f>
        <v>41576</v>
      </c>
      <c r="K11" s="139">
        <v>253002</v>
      </c>
    </row>
    <row r="12" spans="1:11" ht="21.75" customHeight="1" x14ac:dyDescent="0.25">
      <c r="A12" s="80">
        <v>3</v>
      </c>
      <c r="B12" s="133" t="s">
        <v>68</v>
      </c>
      <c r="C12" s="134">
        <v>3</v>
      </c>
      <c r="D12" s="113">
        <f>SUMIFS('🗃️ Raw Data (Sample)'!J:J,'🗃️ Raw Data (Sample)'!A:A,"&gt;="&amp;DATE(2015,C12,1),'🗃️ Raw Data (Sample)'!A:A,"&lt;"&amp;DATE(2015,C12+1,1))</f>
        <v>0</v>
      </c>
      <c r="E12" s="115">
        <v>712079</v>
      </c>
      <c r="F12" s="113">
        <f t="shared" si="0"/>
        <v>-712079</v>
      </c>
      <c r="G12" s="135">
        <f t="shared" si="1"/>
        <v>-1</v>
      </c>
      <c r="H12" s="136" t="str">
        <f t="shared" si="2"/>
        <v>🔴 Rot/Red</v>
      </c>
      <c r="I12" s="114">
        <f t="shared" si="3"/>
        <v>0</v>
      </c>
      <c r="J12" s="113">
        <f>SUMIFS('🗃️ Raw Data (Sample)'!K:K,'🗃️ Raw Data (Sample)'!A:A,"&gt;="&amp;DATE(2015,C12,1),'🗃️ Raw Data (Sample)'!A:A,"&lt;"&amp;DATE(2015,C12+1,1))</f>
        <v>0</v>
      </c>
      <c r="K12" s="115">
        <v>267742</v>
      </c>
    </row>
    <row r="13" spans="1:11" ht="21.75" customHeight="1" x14ac:dyDescent="0.25">
      <c r="A13" s="85">
        <v>4</v>
      </c>
      <c r="B13" s="137" t="s">
        <v>69</v>
      </c>
      <c r="C13" s="138">
        <v>4</v>
      </c>
      <c r="D13" s="120">
        <f>SUMIFS('🗃️ Raw Data (Sample)'!J:J,'🗃️ Raw Data (Sample)'!A:A,"&gt;="&amp;DATE(2015,C13,1),'🗃️ Raw Data (Sample)'!A:A,"&lt;"&amp;DATE(2015,C13+1,1))</f>
        <v>0</v>
      </c>
      <c r="E13" s="139">
        <v>728736</v>
      </c>
      <c r="F13" s="120">
        <f t="shared" si="0"/>
        <v>-728736</v>
      </c>
      <c r="G13" s="135">
        <f t="shared" si="1"/>
        <v>-1</v>
      </c>
      <c r="H13" s="136" t="str">
        <f t="shared" si="2"/>
        <v>🔴 Rot/Red</v>
      </c>
      <c r="I13" s="122">
        <f t="shared" si="3"/>
        <v>0</v>
      </c>
      <c r="J13" s="120">
        <f>SUMIFS('🗃️ Raw Data (Sample)'!K:K,'🗃️ Raw Data (Sample)'!A:A,"&gt;="&amp;DATE(2015,C13,1),'🗃️ Raw Data (Sample)'!A:A,"&lt;"&amp;DATE(2015,C13+1,1))</f>
        <v>0</v>
      </c>
      <c r="K13" s="139">
        <v>274005</v>
      </c>
    </row>
    <row r="14" spans="1:11" ht="21.75" customHeight="1" x14ac:dyDescent="0.25">
      <c r="A14" s="80">
        <v>5</v>
      </c>
      <c r="B14" s="133" t="s">
        <v>70</v>
      </c>
      <c r="C14" s="134">
        <v>5</v>
      </c>
      <c r="D14" s="113">
        <f>SUMIFS('🗃️ Raw Data (Sample)'!J:J,'🗃️ Raw Data (Sample)'!A:A,"&gt;="&amp;DATE(2015,C14,1),'🗃️ Raw Data (Sample)'!A:A,"&lt;"&amp;DATE(2015,C14+1,1))</f>
        <v>0</v>
      </c>
      <c r="E14" s="115">
        <v>901206</v>
      </c>
      <c r="F14" s="113">
        <f t="shared" si="0"/>
        <v>-901206</v>
      </c>
      <c r="G14" s="135">
        <f t="shared" si="1"/>
        <v>-1</v>
      </c>
      <c r="H14" s="136" t="str">
        <f t="shared" si="2"/>
        <v>🔴 Rot/Red</v>
      </c>
      <c r="I14" s="114">
        <f t="shared" si="3"/>
        <v>0</v>
      </c>
      <c r="J14" s="113">
        <f>SUMIFS('🗃️ Raw Data (Sample)'!K:K,'🗃️ Raw Data (Sample)'!A:A,"&gt;="&amp;DATE(2015,C14,1),'🗃️ Raw Data (Sample)'!A:A,"&lt;"&amp;DATE(2015,C14+1,1))</f>
        <v>0</v>
      </c>
      <c r="K14" s="115">
        <v>338853</v>
      </c>
    </row>
    <row r="15" spans="1:11" ht="21.75" customHeight="1" x14ac:dyDescent="0.25">
      <c r="A15" s="85">
        <v>6</v>
      </c>
      <c r="B15" s="137" t="s">
        <v>71</v>
      </c>
      <c r="C15" s="138">
        <v>6</v>
      </c>
      <c r="D15" s="120">
        <f>SUMIFS('🗃️ Raw Data (Sample)'!J:J,'🗃️ Raw Data (Sample)'!A:A,"&gt;="&amp;DATE(2015,C15,1),'🗃️ Raw Data (Sample)'!A:A,"&lt;"&amp;DATE(2015,C15+1,1))</f>
        <v>0</v>
      </c>
      <c r="E15" s="139">
        <v>786483</v>
      </c>
      <c r="F15" s="120">
        <f t="shared" si="0"/>
        <v>-786483</v>
      </c>
      <c r="G15" s="135">
        <f t="shared" si="1"/>
        <v>-1</v>
      </c>
      <c r="H15" s="136" t="str">
        <f t="shared" si="2"/>
        <v>🔴 Rot/Red</v>
      </c>
      <c r="I15" s="122">
        <f t="shared" si="3"/>
        <v>0</v>
      </c>
      <c r="J15" s="120">
        <f>SUMIFS('🗃️ Raw Data (Sample)'!K:K,'🗃️ Raw Data (Sample)'!A:A,"&gt;="&amp;DATE(2015,C15,1),'🗃️ Raw Data (Sample)'!A:A,"&lt;"&amp;DATE(2015,C15+1,1))</f>
        <v>0</v>
      </c>
      <c r="K15" s="139">
        <v>295718</v>
      </c>
    </row>
    <row r="16" spans="1:11" ht="21.75" customHeight="1" x14ac:dyDescent="0.25">
      <c r="A16" s="80">
        <v>7</v>
      </c>
      <c r="B16" s="133" t="s">
        <v>72</v>
      </c>
      <c r="C16" s="134">
        <v>7</v>
      </c>
      <c r="D16" s="113">
        <f>SUMIFS('🗃️ Raw Data (Sample)'!J:J,'🗃️ Raw Data (Sample)'!A:A,"&gt;="&amp;DATE(2015,C16,1),'🗃️ Raw Data (Sample)'!A:A,"&lt;"&amp;DATE(2015,C16+1,1))</f>
        <v>0</v>
      </c>
      <c r="E16" s="115">
        <v>1721640</v>
      </c>
      <c r="F16" s="113">
        <f t="shared" si="0"/>
        <v>-1721640</v>
      </c>
      <c r="G16" s="135">
        <f t="shared" si="1"/>
        <v>-1</v>
      </c>
      <c r="H16" s="136" t="str">
        <f t="shared" si="2"/>
        <v>🔴 Rot/Red</v>
      </c>
      <c r="I16" s="114">
        <f t="shared" si="3"/>
        <v>0</v>
      </c>
      <c r="J16" s="113">
        <f>SUMIFS('🗃️ Raw Data (Sample)'!K:K,'🗃️ Raw Data (Sample)'!A:A,"&gt;="&amp;DATE(2015,C16,1),'🗃️ Raw Data (Sample)'!A:A,"&lt;"&amp;DATE(2015,C16+1,1))</f>
        <v>0</v>
      </c>
      <c r="K16" s="115">
        <v>647337</v>
      </c>
    </row>
    <row r="17" spans="1:11" ht="21.75" customHeight="1" x14ac:dyDescent="0.25">
      <c r="A17" s="85">
        <v>8</v>
      </c>
      <c r="B17" s="137" t="s">
        <v>73</v>
      </c>
      <c r="C17" s="138">
        <v>8</v>
      </c>
      <c r="D17" s="120">
        <f>SUMIFS('🗃️ Raw Data (Sample)'!J:J,'🗃️ Raw Data (Sample)'!A:A,"&gt;="&amp;DATE(2015,C17,1),'🗃️ Raw Data (Sample)'!A:A,"&lt;"&amp;DATE(2015,C17+1,1))</f>
        <v>0</v>
      </c>
      <c r="E17" s="139">
        <v>2139961</v>
      </c>
      <c r="F17" s="120">
        <f t="shared" si="0"/>
        <v>-2139961</v>
      </c>
      <c r="G17" s="135">
        <f t="shared" si="1"/>
        <v>-1</v>
      </c>
      <c r="H17" s="136" t="str">
        <f t="shared" si="2"/>
        <v>🔴 Rot/Red</v>
      </c>
      <c r="I17" s="122">
        <f t="shared" si="3"/>
        <v>0</v>
      </c>
      <c r="J17" s="120">
        <f>SUMIFS('🗃️ Raw Data (Sample)'!K:K,'🗃️ Raw Data (Sample)'!A:A,"&gt;="&amp;DATE(2015,C17,1),'🗃️ Raw Data (Sample)'!A:A,"&lt;"&amp;DATE(2015,C17+1,1))</f>
        <v>0</v>
      </c>
      <c r="K17" s="139">
        <v>804625</v>
      </c>
    </row>
    <row r="18" spans="1:11" ht="21.75" customHeight="1" x14ac:dyDescent="0.25">
      <c r="A18" s="80">
        <v>9</v>
      </c>
      <c r="B18" s="133" t="s">
        <v>74</v>
      </c>
      <c r="C18" s="134">
        <v>9</v>
      </c>
      <c r="D18" s="113">
        <f>SUMIFS('🗃️ Raw Data (Sample)'!J:J,'🗃️ Raw Data (Sample)'!A:A,"&gt;="&amp;DATE(2015,C18,1),'🗃️ Raw Data (Sample)'!A:A,"&lt;"&amp;DATE(2015,C18+1,1))</f>
        <v>0</v>
      </c>
      <c r="E18" s="115">
        <v>2459901</v>
      </c>
      <c r="F18" s="113">
        <f t="shared" si="0"/>
        <v>-2459901</v>
      </c>
      <c r="G18" s="135">
        <f t="shared" si="1"/>
        <v>-1</v>
      </c>
      <c r="H18" s="136" t="str">
        <f t="shared" si="2"/>
        <v>🔴 Rot/Red</v>
      </c>
      <c r="I18" s="114">
        <f t="shared" si="3"/>
        <v>0</v>
      </c>
      <c r="J18" s="113">
        <f>SUMIFS('🗃️ Raw Data (Sample)'!K:K,'🗃️ Raw Data (Sample)'!A:A,"&gt;="&amp;DATE(2015,C18,1),'🗃️ Raw Data (Sample)'!A:A,"&lt;"&amp;DATE(2015,C18+1,1))</f>
        <v>0</v>
      </c>
      <c r="K18" s="115">
        <v>924923</v>
      </c>
    </row>
    <row r="19" spans="1:11" ht="21.75" customHeight="1" x14ac:dyDescent="0.25">
      <c r="A19" s="85">
        <v>10</v>
      </c>
      <c r="B19" s="137" t="s">
        <v>75</v>
      </c>
      <c r="C19" s="138">
        <v>10</v>
      </c>
      <c r="D19" s="120">
        <f>SUMIFS('🗃️ Raw Data (Sample)'!J:J,'🗃️ Raw Data (Sample)'!A:A,"&gt;="&amp;DATE(2015,C19,1),'🗃️ Raw Data (Sample)'!A:A,"&lt;"&amp;DATE(2015,C19+1,1))</f>
        <v>0</v>
      </c>
      <c r="E19" s="139">
        <v>2538826</v>
      </c>
      <c r="F19" s="120">
        <f t="shared" si="0"/>
        <v>-2538826</v>
      </c>
      <c r="G19" s="135">
        <f t="shared" si="1"/>
        <v>-1</v>
      </c>
      <c r="H19" s="136" t="str">
        <f t="shared" si="2"/>
        <v>🔴 Rot/Red</v>
      </c>
      <c r="I19" s="122">
        <f t="shared" si="3"/>
        <v>0</v>
      </c>
      <c r="J19" s="120">
        <f>SUMIFS('🗃️ Raw Data (Sample)'!K:K,'🗃️ Raw Data (Sample)'!A:A,"&gt;="&amp;DATE(2015,C19,1),'🗃️ Raw Data (Sample)'!A:A,"&lt;"&amp;DATE(2015,C19+1,1))</f>
        <v>0</v>
      </c>
      <c r="K19" s="139">
        <v>954599</v>
      </c>
    </row>
    <row r="20" spans="1:11" ht="21.75" customHeight="1" x14ac:dyDescent="0.25">
      <c r="A20" s="80">
        <v>11</v>
      </c>
      <c r="B20" s="133" t="s">
        <v>76</v>
      </c>
      <c r="C20" s="134">
        <v>11</v>
      </c>
      <c r="D20" s="113">
        <f>SUMIFS('🗃️ Raw Data (Sample)'!J:J,'🗃️ Raw Data (Sample)'!A:A,"&gt;="&amp;DATE(2015,C20,1),'🗃️ Raw Data (Sample)'!A:A,"&lt;"&amp;DATE(2015,C20+1,1))</f>
        <v>0</v>
      </c>
      <c r="E20" s="115">
        <v>2835230</v>
      </c>
      <c r="F20" s="113">
        <f t="shared" si="0"/>
        <v>-2835230</v>
      </c>
      <c r="G20" s="135">
        <f t="shared" si="1"/>
        <v>-1</v>
      </c>
      <c r="H20" s="136" t="str">
        <f t="shared" si="2"/>
        <v>🔴 Rot/Red</v>
      </c>
      <c r="I20" s="114">
        <f t="shared" si="3"/>
        <v>0</v>
      </c>
      <c r="J20" s="113">
        <f>SUMIFS('🗃️ Raw Data (Sample)'!K:K,'🗃️ Raw Data (Sample)'!A:A,"&gt;="&amp;DATE(2015,C20,1),'🗃️ Raw Data (Sample)'!A:A,"&lt;"&amp;DATE(2015,C20+1,1))</f>
        <v>0</v>
      </c>
      <c r="K20" s="115">
        <v>1066046</v>
      </c>
    </row>
    <row r="21" spans="1:11" ht="21.75" customHeight="1" x14ac:dyDescent="0.25">
      <c r="A21" s="85">
        <v>12</v>
      </c>
      <c r="B21" s="137" t="s">
        <v>3</v>
      </c>
      <c r="C21" s="138">
        <v>12</v>
      </c>
      <c r="D21" s="120">
        <f>SUMIFS('🗃️ Raw Data (Sample)'!J:J,'🗃️ Raw Data (Sample)'!A:A,"&gt;="&amp;DATE(2015,C21,1),'🗃️ Raw Data (Sample)'!A:A,"&lt;"&amp;DATE(2016,1,1))</f>
        <v>0</v>
      </c>
      <c r="E21" s="139">
        <v>3849604</v>
      </c>
      <c r="F21" s="120">
        <f t="shared" si="0"/>
        <v>-3849604</v>
      </c>
      <c r="G21" s="135">
        <f t="shared" si="1"/>
        <v>-1</v>
      </c>
      <c r="H21" s="136" t="str">
        <f t="shared" si="2"/>
        <v>🔴 Rot/Red</v>
      </c>
      <c r="I21" s="122">
        <f t="shared" si="3"/>
        <v>0</v>
      </c>
      <c r="J21" s="120">
        <f>SUMIFS('🗃️ Raw Data (Sample)'!K:K,'🗃️ Raw Data (Sample)'!A:A,"&gt;="&amp;DATE(2015,C21,1),'🗃️ Raw Data (Sample)'!A:A,"&lt;"&amp;DATE(2016,1,1))</f>
        <v>0</v>
      </c>
      <c r="K21" s="139">
        <v>1447451</v>
      </c>
    </row>
    <row r="22" spans="1:11" ht="24" customHeight="1" x14ac:dyDescent="0.25">
      <c r="A22" s="78" t="s">
        <v>77</v>
      </c>
      <c r="B22" s="78"/>
      <c r="C22" s="78"/>
      <c r="D22" s="90">
        <f>SUM(D10:D21)</f>
        <v>795005</v>
      </c>
      <c r="E22" s="90">
        <f>SUM(E10:E21)</f>
        <v>20012324</v>
      </c>
      <c r="F22" s="90">
        <f>SUM(F10:F21)</f>
        <v>-19217319</v>
      </c>
      <c r="G22" s="140">
        <f t="shared" si="1"/>
        <v>-0.96027422902007786</v>
      </c>
      <c r="H22" s="58"/>
      <c r="I22" s="91">
        <f t="shared" si="3"/>
        <v>0.32801051565713424</v>
      </c>
      <c r="J22" s="90">
        <f>SUM(J10:J21)</f>
        <v>260770</v>
      </c>
      <c r="K22" s="90">
        <f>SUM(K10:K21)</f>
        <v>7524634</v>
      </c>
    </row>
    <row r="23" spans="1:11" x14ac:dyDescent="0.2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</row>
    <row r="24" spans="1:11" ht="21.75" customHeight="1" x14ac:dyDescent="0.25">
      <c r="A24" s="78" t="s">
        <v>374</v>
      </c>
      <c r="B24" s="78"/>
      <c r="C24" s="78"/>
      <c r="D24" s="78"/>
      <c r="E24" s="78"/>
      <c r="F24" s="78"/>
      <c r="G24" s="78"/>
      <c r="H24" s="78"/>
      <c r="I24" s="78"/>
      <c r="J24" s="78"/>
      <c r="K24" s="78"/>
    </row>
    <row r="25" spans="1:11" ht="36" customHeight="1" x14ac:dyDescent="0.25">
      <c r="A25" s="100" t="s">
        <v>375</v>
      </c>
      <c r="B25" s="106" t="s">
        <v>376</v>
      </c>
      <c r="C25" s="106"/>
      <c r="D25" s="106"/>
      <c r="E25" s="106"/>
      <c r="F25" s="106"/>
      <c r="G25" s="107" t="s">
        <v>377</v>
      </c>
      <c r="H25" s="107"/>
      <c r="I25" s="107"/>
      <c r="J25" s="107"/>
      <c r="K25" s="107"/>
    </row>
    <row r="26" spans="1:11" ht="36" customHeight="1" x14ac:dyDescent="0.25">
      <c r="A26" s="103" t="s">
        <v>378</v>
      </c>
      <c r="B26" s="108" t="s">
        <v>379</v>
      </c>
      <c r="C26" s="108"/>
      <c r="D26" s="108"/>
      <c r="E26" s="108"/>
      <c r="F26" s="108"/>
      <c r="G26" s="109" t="s">
        <v>380</v>
      </c>
      <c r="H26" s="109"/>
      <c r="I26" s="109"/>
      <c r="J26" s="109"/>
      <c r="K26" s="109"/>
    </row>
    <row r="27" spans="1:11" ht="36" customHeight="1" x14ac:dyDescent="0.25">
      <c r="A27" s="100" t="s">
        <v>62</v>
      </c>
      <c r="B27" s="106" t="s">
        <v>381</v>
      </c>
      <c r="C27" s="106"/>
      <c r="D27" s="106"/>
      <c r="E27" s="106"/>
      <c r="F27" s="106"/>
      <c r="G27" s="107" t="s">
        <v>382</v>
      </c>
      <c r="H27" s="107"/>
      <c r="I27" s="107"/>
      <c r="J27" s="107"/>
      <c r="K27" s="107"/>
    </row>
    <row r="28" spans="1:11" ht="36" customHeight="1" x14ac:dyDescent="0.25">
      <c r="A28" s="103" t="s">
        <v>383</v>
      </c>
      <c r="B28" s="108" t="s">
        <v>384</v>
      </c>
      <c r="C28" s="108"/>
      <c r="D28" s="108"/>
      <c r="E28" s="108"/>
      <c r="F28" s="108"/>
      <c r="G28" s="109" t="s">
        <v>385</v>
      </c>
      <c r="H28" s="109"/>
      <c r="I28" s="109"/>
      <c r="J28" s="109"/>
      <c r="K28" s="109"/>
    </row>
  </sheetData>
  <mergeCells count="18">
    <mergeCell ref="B26:F26"/>
    <mergeCell ref="G26:K26"/>
    <mergeCell ref="B27:F27"/>
    <mergeCell ref="G27:K27"/>
    <mergeCell ref="B28:F28"/>
    <mergeCell ref="G28:K28"/>
    <mergeCell ref="A8:K8"/>
    <mergeCell ref="A22:C22"/>
    <mergeCell ref="A24:K24"/>
    <mergeCell ref="B25:F25"/>
    <mergeCell ref="G25:K25"/>
    <mergeCell ref="A1:K1"/>
    <mergeCell ref="A2:K2"/>
    <mergeCell ref="A3:K3"/>
    <mergeCell ref="A5:K5"/>
    <mergeCell ref="A6:C6"/>
    <mergeCell ref="E6:G6"/>
    <mergeCell ref="I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0"/>
  <sheetViews>
    <sheetView showGridLines="0" topLeftCell="A4" zoomScaleNormal="100" workbookViewId="0">
      <selection activeCell="A3" sqref="A3:J3"/>
    </sheetView>
  </sheetViews>
  <sheetFormatPr baseColWidth="10" defaultColWidth="8.7109375" defaultRowHeight="15" x14ac:dyDescent="0.25"/>
  <cols>
    <col min="1" max="1" width="25.5703125" bestFit="1" customWidth="1"/>
    <col min="2" max="2" width="22" customWidth="1"/>
    <col min="3" max="3" width="23.28515625" customWidth="1"/>
    <col min="4" max="4" width="14" customWidth="1"/>
    <col min="5" max="6" width="12" customWidth="1"/>
    <col min="7" max="7" width="14" customWidth="1"/>
    <col min="8" max="9" width="12" customWidth="1"/>
    <col min="10" max="10" width="23.85546875" customWidth="1"/>
  </cols>
  <sheetData>
    <row r="1" spans="1:10" ht="27.75" customHeight="1" x14ac:dyDescent="0.25">
      <c r="A1" s="98" t="s">
        <v>386</v>
      </c>
      <c r="B1" s="98"/>
      <c r="C1" s="98"/>
      <c r="D1" s="98"/>
      <c r="E1" s="98"/>
      <c r="F1" s="98"/>
      <c r="G1" s="98"/>
      <c r="H1" s="98"/>
      <c r="I1" s="98"/>
      <c r="J1" s="98"/>
    </row>
    <row r="2" spans="1:10" ht="24" customHeight="1" x14ac:dyDescent="0.25">
      <c r="A2" s="99" t="s">
        <v>387</v>
      </c>
      <c r="B2" s="99"/>
      <c r="C2" s="99"/>
      <c r="D2" s="99"/>
      <c r="E2" s="99"/>
      <c r="F2" s="99"/>
      <c r="G2" s="99"/>
      <c r="H2" s="99"/>
      <c r="I2" s="99"/>
      <c r="J2" s="99"/>
    </row>
    <row r="3" spans="1:10" ht="19.5" customHeight="1" x14ac:dyDescent="0.25">
      <c r="A3" s="110" t="s">
        <v>334</v>
      </c>
      <c r="B3" s="110"/>
      <c r="C3" s="110"/>
      <c r="D3" s="110"/>
      <c r="E3" s="110"/>
      <c r="F3" s="110"/>
      <c r="G3" s="110"/>
      <c r="H3" s="110"/>
      <c r="I3" s="110"/>
      <c r="J3" s="110"/>
    </row>
    <row r="4" spans="1:10" x14ac:dyDescent="0.25">
      <c r="A4" s="58"/>
      <c r="B4" s="58"/>
      <c r="C4" s="58"/>
      <c r="D4" s="58"/>
      <c r="E4" s="58"/>
      <c r="F4" s="58"/>
      <c r="G4" s="58"/>
      <c r="H4" s="58"/>
      <c r="I4" s="58"/>
      <c r="J4" s="58"/>
    </row>
    <row r="5" spans="1:10" ht="19.5" customHeight="1" x14ac:dyDescent="0.25">
      <c r="A5" s="92" t="s">
        <v>388</v>
      </c>
      <c r="B5" s="92"/>
      <c r="C5" s="92"/>
      <c r="D5" s="92"/>
      <c r="E5" s="92"/>
      <c r="F5" s="92"/>
      <c r="G5" s="92"/>
      <c r="H5" s="92"/>
      <c r="I5" s="92"/>
      <c r="J5" s="92"/>
    </row>
    <row r="6" spans="1:10" ht="19.5" customHeight="1" x14ac:dyDescent="0.25">
      <c r="A6" s="130" t="s">
        <v>389</v>
      </c>
      <c r="B6" s="130"/>
      <c r="C6" s="130"/>
      <c r="D6" s="131">
        <v>0.15</v>
      </c>
      <c r="E6" s="102" t="s">
        <v>390</v>
      </c>
      <c r="F6" s="102"/>
      <c r="G6" s="102"/>
      <c r="H6" s="102"/>
      <c r="I6" s="102"/>
      <c r="J6" s="102"/>
    </row>
    <row r="8" spans="1:10" ht="21.75" customHeight="1" x14ac:dyDescent="0.25">
      <c r="A8" s="78" t="s">
        <v>391</v>
      </c>
      <c r="B8" s="78"/>
      <c r="C8" s="78"/>
      <c r="D8" s="78"/>
      <c r="E8" s="78"/>
      <c r="F8" s="78"/>
      <c r="G8" s="78"/>
      <c r="H8" s="78"/>
      <c r="I8" s="78"/>
      <c r="J8" s="78"/>
    </row>
    <row r="9" spans="1:10" ht="39.75" customHeight="1" x14ac:dyDescent="0.25">
      <c r="A9" s="79" t="s">
        <v>5</v>
      </c>
      <c r="B9" s="79" t="s">
        <v>346</v>
      </c>
      <c r="C9" s="79" t="s">
        <v>336</v>
      </c>
      <c r="D9" s="79" t="s">
        <v>392</v>
      </c>
      <c r="E9" s="79" t="s">
        <v>393</v>
      </c>
      <c r="F9" s="79" t="s">
        <v>394</v>
      </c>
      <c r="G9" s="79" t="s">
        <v>395</v>
      </c>
      <c r="H9" s="79" t="s">
        <v>349</v>
      </c>
      <c r="I9" s="79" t="s">
        <v>396</v>
      </c>
      <c r="J9" s="79" t="s">
        <v>397</v>
      </c>
    </row>
    <row r="10" spans="1:10" ht="24" customHeight="1" x14ac:dyDescent="0.25">
      <c r="A10" s="80">
        <v>1</v>
      </c>
      <c r="B10" s="125" t="s">
        <v>352</v>
      </c>
      <c r="C10" s="113">
        <f>SUMIFS('🗃️ Raw Data (Sample)'!J:J,'🗃️ Raw Data (Sample)'!D:D,B10)</f>
        <v>0</v>
      </c>
      <c r="D10" s="113">
        <f>SUMIFS('🗃️ Raw Data (Sample)'!I:I,'🗃️ Raw Data (Sample)'!D:D,B10)</f>
        <v>0</v>
      </c>
      <c r="E10" s="113">
        <f>C10-D10</f>
        <v>0</v>
      </c>
      <c r="F10" s="113">
        <f>ROUND(C10*$D$6,0)</f>
        <v>0</v>
      </c>
      <c r="G10" s="113">
        <f>E10-F10</f>
        <v>0</v>
      </c>
      <c r="H10" s="114">
        <f>IF(C10&gt;0,E10/C10,0)</f>
        <v>0</v>
      </c>
      <c r="I10" s="114">
        <f>IF(C13&gt;0,C10/C13,0)</f>
        <v>0</v>
      </c>
      <c r="J10" s="127" t="s">
        <v>353</v>
      </c>
    </row>
    <row r="11" spans="1:10" ht="24" customHeight="1" x14ac:dyDescent="0.25">
      <c r="A11" s="85">
        <v>2</v>
      </c>
      <c r="B11" s="119" t="s">
        <v>245</v>
      </c>
      <c r="C11" s="120">
        <f>SUMIFS('🗃️ Raw Data (Sample)'!J:J,'🗃️ Raw Data (Sample)'!D:D,B11)</f>
        <v>795005</v>
      </c>
      <c r="D11" s="120">
        <f>SUMIFS('🗃️ Raw Data (Sample)'!I:I,'🗃️ Raw Data (Sample)'!D:D,B11)</f>
        <v>534235</v>
      </c>
      <c r="E11" s="120">
        <f>C11-D11</f>
        <v>260770</v>
      </c>
      <c r="F11" s="120">
        <f>ROUND(C11*$D$6,0)</f>
        <v>119251</v>
      </c>
      <c r="G11" s="120">
        <f>E11-F11</f>
        <v>141519</v>
      </c>
      <c r="H11" s="122">
        <f>IF(C11&gt;0,E11/C11,0)</f>
        <v>0.32801051565713424</v>
      </c>
      <c r="I11" s="122">
        <f>IF(C13&gt;0,C11/C13,0)</f>
        <v>1</v>
      </c>
      <c r="J11" s="124" t="s">
        <v>354</v>
      </c>
    </row>
    <row r="12" spans="1:10" ht="24" customHeight="1" x14ac:dyDescent="0.25">
      <c r="A12" s="80">
        <v>3</v>
      </c>
      <c r="B12" s="125" t="s">
        <v>355</v>
      </c>
      <c r="C12" s="113">
        <f>SUMIFS('🗃️ Raw Data (Sample)'!J:J,'🗃️ Raw Data (Sample)'!D:D,B12)</f>
        <v>0</v>
      </c>
      <c r="D12" s="113">
        <f>SUMIFS('🗃️ Raw Data (Sample)'!I:I,'🗃️ Raw Data (Sample)'!D:D,B12)</f>
        <v>0</v>
      </c>
      <c r="E12" s="113">
        <f>C12-D12</f>
        <v>0</v>
      </c>
      <c r="F12" s="113">
        <f>ROUND(C12*$D$6,0)</f>
        <v>0</v>
      </c>
      <c r="G12" s="113">
        <f>E12-F12</f>
        <v>0</v>
      </c>
      <c r="H12" s="114">
        <f>IF(C12&gt;0,E12/C12,0)</f>
        <v>0</v>
      </c>
      <c r="I12" s="114">
        <f>IF(C13&gt;0,C12/C13,0)</f>
        <v>0</v>
      </c>
      <c r="J12" s="127" t="s">
        <v>356</v>
      </c>
    </row>
    <row r="13" spans="1:10" ht="21.75" customHeight="1" x14ac:dyDescent="0.25">
      <c r="A13" s="92" t="s">
        <v>357</v>
      </c>
      <c r="B13" s="92"/>
      <c r="C13" s="128">
        <f>SUM(C10:C12)</f>
        <v>795005</v>
      </c>
      <c r="D13" s="128">
        <f>SUM(D10:D12)</f>
        <v>534235</v>
      </c>
      <c r="E13" s="128">
        <f>SUM(E10:E12)</f>
        <v>260770</v>
      </c>
      <c r="F13" s="128">
        <f>SUM(F10:F12)</f>
        <v>119251</v>
      </c>
      <c r="G13" s="128">
        <f>SUM(G10:G12)</f>
        <v>141519</v>
      </c>
      <c r="H13" s="129">
        <f>IF(C13&gt;0,E13/C13,0)</f>
        <v>0.32801051565713424</v>
      </c>
      <c r="I13" s="129">
        <v>1</v>
      </c>
      <c r="J13" s="58"/>
    </row>
    <row r="15" spans="1:10" ht="21.75" customHeight="1" x14ac:dyDescent="0.25">
      <c r="A15" s="78" t="s">
        <v>398</v>
      </c>
      <c r="B15" s="78"/>
      <c r="C15" s="78"/>
      <c r="D15" s="78"/>
      <c r="E15" s="78"/>
      <c r="F15" s="78"/>
      <c r="G15" s="78"/>
      <c r="H15" s="78"/>
      <c r="I15" s="78"/>
      <c r="J15" s="78"/>
    </row>
    <row r="16" spans="1:10" ht="39.75" customHeight="1" x14ac:dyDescent="0.25">
      <c r="A16" s="79" t="s">
        <v>5</v>
      </c>
      <c r="B16" s="79" t="s">
        <v>399</v>
      </c>
      <c r="C16" s="79" t="s">
        <v>400</v>
      </c>
      <c r="D16" s="79" t="s">
        <v>336</v>
      </c>
      <c r="E16" s="79" t="s">
        <v>392</v>
      </c>
      <c r="F16" s="79" t="s">
        <v>401</v>
      </c>
      <c r="G16" s="79" t="s">
        <v>402</v>
      </c>
      <c r="H16" s="79" t="s">
        <v>403</v>
      </c>
      <c r="I16" s="79" t="s">
        <v>404</v>
      </c>
      <c r="J16" s="79" t="s">
        <v>397</v>
      </c>
    </row>
    <row r="17" spans="1:10" ht="21.75" customHeight="1" x14ac:dyDescent="0.25">
      <c r="A17" s="85">
        <v>1</v>
      </c>
      <c r="B17" s="119" t="s">
        <v>250</v>
      </c>
      <c r="C17" s="119" t="s">
        <v>251</v>
      </c>
      <c r="D17" s="120">
        <f>SUMIFS('🗃️ Raw Data (Sample)'!J:J,'🗃️ Raw Data (Sample)'!B:B,B17)</f>
        <v>294358</v>
      </c>
      <c r="E17" s="120">
        <f>SUMIFS('🗃️ Raw Data (Sample)'!I:I,'🗃️ Raw Data (Sample)'!B:B,B17)</f>
        <v>208526</v>
      </c>
      <c r="F17" s="120">
        <f t="shared" ref="F17:F22" si="0">D17-E17</f>
        <v>85832</v>
      </c>
      <c r="G17" s="120">
        <f t="shared" ref="G17:G22" si="1">ROUND(D17*$D$6,0)</f>
        <v>44154</v>
      </c>
      <c r="H17" s="120">
        <f t="shared" ref="H17:H22" si="2">F17-G17</f>
        <v>41678</v>
      </c>
      <c r="I17" s="122">
        <f t="shared" ref="I17:I23" si="3">IF(D17&gt;0,F17/D17,0)</f>
        <v>0.29159051223340288</v>
      </c>
      <c r="J17" s="124" t="s">
        <v>405</v>
      </c>
    </row>
    <row r="18" spans="1:10" ht="21.75" customHeight="1" x14ac:dyDescent="0.25">
      <c r="A18" s="80">
        <v>2</v>
      </c>
      <c r="B18" s="125" t="s">
        <v>256</v>
      </c>
      <c r="C18" s="125" t="s">
        <v>257</v>
      </c>
      <c r="D18" s="113">
        <f>SUMIFS('🗃️ Raw Data (Sample)'!J:J,'🗃️ Raw Data (Sample)'!B:B,B18)</f>
        <v>33365</v>
      </c>
      <c r="E18" s="113">
        <f>SUMIFS('🗃️ Raw Data (Sample)'!I:I,'🗃️ Raw Data (Sample)'!B:B,B18)</f>
        <v>19946</v>
      </c>
      <c r="F18" s="113">
        <f t="shared" si="0"/>
        <v>13419</v>
      </c>
      <c r="G18" s="113">
        <f t="shared" si="1"/>
        <v>5005</v>
      </c>
      <c r="H18" s="113">
        <f t="shared" si="2"/>
        <v>8414</v>
      </c>
      <c r="I18" s="114">
        <f t="shared" si="3"/>
        <v>0.40218792147459914</v>
      </c>
      <c r="J18" s="127" t="s">
        <v>406</v>
      </c>
    </row>
    <row r="19" spans="1:10" ht="21.75" customHeight="1" x14ac:dyDescent="0.25">
      <c r="A19" s="85">
        <v>3</v>
      </c>
      <c r="B19" s="119" t="s">
        <v>252</v>
      </c>
      <c r="C19" s="119" t="s">
        <v>253</v>
      </c>
      <c r="D19" s="120">
        <f>SUMIFS('🗃️ Raw Data (Sample)'!J:J,'🗃️ Raw Data (Sample)'!B:B,B19)</f>
        <v>78468</v>
      </c>
      <c r="E19" s="120">
        <f>SUMIFS('🗃️ Raw Data (Sample)'!I:I,'🗃️ Raw Data (Sample)'!B:B,B19)</f>
        <v>53836</v>
      </c>
      <c r="F19" s="120">
        <f t="shared" si="0"/>
        <v>24632</v>
      </c>
      <c r="G19" s="120">
        <f t="shared" si="1"/>
        <v>11770</v>
      </c>
      <c r="H19" s="120">
        <f t="shared" si="2"/>
        <v>12862</v>
      </c>
      <c r="I19" s="122">
        <f t="shared" si="3"/>
        <v>0.31391140337462403</v>
      </c>
      <c r="J19" s="124" t="s">
        <v>407</v>
      </c>
    </row>
    <row r="20" spans="1:10" ht="21.75" customHeight="1" x14ac:dyDescent="0.25">
      <c r="A20" s="80">
        <v>4</v>
      </c>
      <c r="B20" s="125" t="s">
        <v>247</v>
      </c>
      <c r="C20" s="125" t="s">
        <v>248</v>
      </c>
      <c r="D20" s="113">
        <f>SUMIFS('🗃️ Raw Data (Sample)'!J:J,'🗃️ Raw Data (Sample)'!B:B,B20)</f>
        <v>76077</v>
      </c>
      <c r="E20" s="113">
        <f>SUMIFS('🗃️ Raw Data (Sample)'!I:I,'🗃️ Raw Data (Sample)'!B:B,B20)</f>
        <v>50871</v>
      </c>
      <c r="F20" s="113">
        <f t="shared" si="0"/>
        <v>25206</v>
      </c>
      <c r="G20" s="113">
        <f t="shared" si="1"/>
        <v>11412</v>
      </c>
      <c r="H20" s="113">
        <f t="shared" si="2"/>
        <v>13794</v>
      </c>
      <c r="I20" s="114">
        <f t="shared" si="3"/>
        <v>0.33132221302101816</v>
      </c>
      <c r="J20" s="127" t="s">
        <v>408</v>
      </c>
    </row>
    <row r="21" spans="1:10" ht="21.75" customHeight="1" x14ac:dyDescent="0.25">
      <c r="A21" s="85">
        <v>5</v>
      </c>
      <c r="B21" s="119" t="s">
        <v>254</v>
      </c>
      <c r="C21" s="119" t="s">
        <v>255</v>
      </c>
      <c r="D21" s="120">
        <f>SUMIFS('🗃️ Raw Data (Sample)'!J:J,'🗃️ Raw Data (Sample)'!B:B,B21)</f>
        <v>106058</v>
      </c>
      <c r="E21" s="120">
        <f>SUMIFS('🗃️ Raw Data (Sample)'!I:I,'🗃️ Raw Data (Sample)'!B:B,B21)</f>
        <v>66620</v>
      </c>
      <c r="F21" s="120">
        <f t="shared" si="0"/>
        <v>39438</v>
      </c>
      <c r="G21" s="120">
        <f t="shared" si="1"/>
        <v>15909</v>
      </c>
      <c r="H21" s="120">
        <f t="shared" si="2"/>
        <v>23529</v>
      </c>
      <c r="I21" s="122">
        <f t="shared" si="3"/>
        <v>0.37185313696279393</v>
      </c>
      <c r="J21" s="124" t="s">
        <v>409</v>
      </c>
    </row>
    <row r="22" spans="1:10" ht="21.75" customHeight="1" x14ac:dyDescent="0.25">
      <c r="A22" s="80">
        <v>6</v>
      </c>
      <c r="B22" s="125" t="s">
        <v>243</v>
      </c>
      <c r="C22" s="125" t="s">
        <v>244</v>
      </c>
      <c r="D22" s="113">
        <f>SUMIFS('🗃️ Raw Data (Sample)'!J:J,'🗃️ Raw Data (Sample)'!B:B,B22)</f>
        <v>206679</v>
      </c>
      <c r="E22" s="113">
        <f>SUMIFS('🗃️ Raw Data (Sample)'!I:I,'🗃️ Raw Data (Sample)'!B:B,B22)</f>
        <v>134436</v>
      </c>
      <c r="F22" s="113">
        <f t="shared" si="0"/>
        <v>72243</v>
      </c>
      <c r="G22" s="113">
        <f t="shared" si="1"/>
        <v>31002</v>
      </c>
      <c r="H22" s="113">
        <f t="shared" si="2"/>
        <v>41241</v>
      </c>
      <c r="I22" s="114">
        <f t="shared" si="3"/>
        <v>0.34954204345869683</v>
      </c>
      <c r="J22" s="127" t="s">
        <v>410</v>
      </c>
    </row>
    <row r="23" spans="1:10" ht="21.75" customHeight="1" x14ac:dyDescent="0.25">
      <c r="A23" s="92" t="s">
        <v>357</v>
      </c>
      <c r="B23" s="92"/>
      <c r="C23" s="92"/>
      <c r="D23" s="128">
        <f>SUM(D17:D22)</f>
        <v>795005</v>
      </c>
      <c r="E23" s="128">
        <f>SUM(E17:E22)</f>
        <v>534235</v>
      </c>
      <c r="F23" s="128">
        <f>SUM(F17:F22)</f>
        <v>260770</v>
      </c>
      <c r="G23" s="128">
        <f>SUM(G17:G22)</f>
        <v>119252</v>
      </c>
      <c r="H23" s="128">
        <f>SUM(H17:H22)</f>
        <v>141518</v>
      </c>
      <c r="I23" s="129">
        <f t="shared" si="3"/>
        <v>0.32801051565713424</v>
      </c>
      <c r="J23" s="58"/>
    </row>
    <row r="25" spans="1:10" ht="21.75" customHeight="1" x14ac:dyDescent="0.25">
      <c r="A25" s="78" t="s">
        <v>411</v>
      </c>
      <c r="B25" s="78"/>
      <c r="C25" s="78"/>
      <c r="D25" s="78"/>
      <c r="E25" s="78"/>
      <c r="F25" s="78"/>
      <c r="G25" s="78"/>
      <c r="H25" s="78"/>
      <c r="I25" s="78"/>
      <c r="J25" s="78"/>
    </row>
    <row r="26" spans="1:10" ht="31.5" customHeight="1" x14ac:dyDescent="0.25">
      <c r="A26" s="103" t="s">
        <v>412</v>
      </c>
      <c r="B26" s="108" t="s">
        <v>413</v>
      </c>
      <c r="C26" s="108"/>
      <c r="D26" s="108"/>
      <c r="E26" s="108"/>
      <c r="F26" s="109" t="s">
        <v>414</v>
      </c>
      <c r="G26" s="109"/>
      <c r="H26" s="109"/>
      <c r="I26" s="109"/>
      <c r="J26" s="109"/>
    </row>
    <row r="27" spans="1:10" ht="31.5" customHeight="1" x14ac:dyDescent="0.25">
      <c r="A27" s="100" t="s">
        <v>415</v>
      </c>
      <c r="B27" s="106" t="s">
        <v>416</v>
      </c>
      <c r="C27" s="106"/>
      <c r="D27" s="106"/>
      <c r="E27" s="106"/>
      <c r="F27" s="107" t="s">
        <v>417</v>
      </c>
      <c r="G27" s="107"/>
      <c r="H27" s="107"/>
      <c r="I27" s="107"/>
      <c r="J27" s="107"/>
    </row>
    <row r="28" spans="1:10" ht="31.5" customHeight="1" x14ac:dyDescent="0.25">
      <c r="A28" s="103" t="s">
        <v>418</v>
      </c>
      <c r="B28" s="108" t="s">
        <v>419</v>
      </c>
      <c r="C28" s="108"/>
      <c r="D28" s="108"/>
      <c r="E28" s="108"/>
      <c r="F28" s="109" t="s">
        <v>420</v>
      </c>
      <c r="G28" s="109"/>
      <c r="H28" s="109"/>
      <c r="I28" s="109"/>
      <c r="J28" s="109"/>
    </row>
    <row r="29" spans="1:10" ht="31.5" customHeight="1" x14ac:dyDescent="0.25">
      <c r="A29" s="100" t="s">
        <v>421</v>
      </c>
      <c r="B29" s="106" t="s">
        <v>422</v>
      </c>
      <c r="C29" s="106"/>
      <c r="D29" s="106"/>
      <c r="E29" s="106"/>
      <c r="F29" s="107" t="s">
        <v>423</v>
      </c>
      <c r="G29" s="107"/>
      <c r="H29" s="107"/>
      <c r="I29" s="107"/>
      <c r="J29" s="107"/>
    </row>
    <row r="30" spans="1:10" ht="31.5" customHeight="1" x14ac:dyDescent="0.25">
      <c r="A30" s="103" t="s">
        <v>424</v>
      </c>
      <c r="B30" s="108" t="s">
        <v>425</v>
      </c>
      <c r="C30" s="108"/>
      <c r="D30" s="108"/>
      <c r="E30" s="108"/>
      <c r="F30" s="109" t="s">
        <v>426</v>
      </c>
      <c r="G30" s="109"/>
      <c r="H30" s="109"/>
      <c r="I30" s="109"/>
      <c r="J30" s="109"/>
    </row>
  </sheetData>
  <mergeCells count="21">
    <mergeCell ref="B29:E29"/>
    <mergeCell ref="F29:J29"/>
    <mergeCell ref="B30:E30"/>
    <mergeCell ref="F30:J30"/>
    <mergeCell ref="B26:E26"/>
    <mergeCell ref="F26:J26"/>
    <mergeCell ref="B27:E27"/>
    <mergeCell ref="F27:J27"/>
    <mergeCell ref="B28:E28"/>
    <mergeCell ref="F28:J28"/>
    <mergeCell ref="A8:J8"/>
    <mergeCell ref="A13:B13"/>
    <mergeCell ref="A15:J15"/>
    <mergeCell ref="A23:C23"/>
    <mergeCell ref="A25:J25"/>
    <mergeCell ref="A1:J1"/>
    <mergeCell ref="A2:J2"/>
    <mergeCell ref="A3:J3"/>
    <mergeCell ref="A5:J5"/>
    <mergeCell ref="A6:C6"/>
    <mergeCell ref="E6:J6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6"/>
  <sheetViews>
    <sheetView showGridLines="0" topLeftCell="A25" zoomScale="130" zoomScaleNormal="130" workbookViewId="0">
      <selection activeCell="M10" sqref="M10"/>
    </sheetView>
  </sheetViews>
  <sheetFormatPr baseColWidth="10" defaultColWidth="8.7109375" defaultRowHeight="15" x14ac:dyDescent="0.25"/>
  <cols>
    <col min="1" max="1" width="20.85546875" customWidth="1"/>
    <col min="2" max="3" width="12" customWidth="1"/>
    <col min="4" max="6" width="16" customWidth="1"/>
    <col min="7" max="9" width="14" customWidth="1"/>
    <col min="10" max="10" width="28" customWidth="1"/>
  </cols>
  <sheetData>
    <row r="1" spans="1:10" ht="27.75" customHeight="1" x14ac:dyDescent="0.25">
      <c r="A1" s="98" t="s">
        <v>427</v>
      </c>
      <c r="B1" s="98"/>
      <c r="C1" s="98"/>
      <c r="D1" s="98"/>
      <c r="E1" s="98"/>
      <c r="F1" s="98"/>
      <c r="G1" s="98"/>
      <c r="H1" s="98"/>
      <c r="I1" s="98"/>
      <c r="J1" s="98"/>
    </row>
    <row r="2" spans="1:10" ht="24" customHeight="1" x14ac:dyDescent="0.25">
      <c r="A2" s="99" t="s">
        <v>428</v>
      </c>
      <c r="B2" s="99"/>
      <c r="C2" s="99"/>
      <c r="D2" s="99"/>
      <c r="E2" s="99"/>
      <c r="F2" s="99"/>
      <c r="G2" s="99"/>
      <c r="H2" s="99"/>
      <c r="I2" s="99"/>
      <c r="J2" s="99"/>
    </row>
    <row r="3" spans="1:10" ht="19.5" customHeight="1" x14ac:dyDescent="0.25">
      <c r="A3" s="110" t="s">
        <v>334</v>
      </c>
      <c r="B3" s="110"/>
      <c r="C3" s="110"/>
      <c r="D3" s="110"/>
      <c r="E3" s="110"/>
      <c r="F3" s="110"/>
      <c r="G3" s="110"/>
      <c r="H3" s="110"/>
      <c r="I3" s="110"/>
      <c r="J3" s="110"/>
    </row>
    <row r="4" spans="1:10" x14ac:dyDescent="0.25">
      <c r="A4" s="58"/>
      <c r="B4" s="58"/>
      <c r="C4" s="58"/>
      <c r="D4" s="58"/>
      <c r="E4" s="58"/>
      <c r="F4" s="58"/>
      <c r="G4" s="58"/>
      <c r="H4" s="58"/>
      <c r="I4" s="58"/>
      <c r="J4" s="58"/>
    </row>
    <row r="5" spans="1:10" ht="19.5" customHeight="1" x14ac:dyDescent="0.25">
      <c r="A5" s="92" t="s">
        <v>388</v>
      </c>
      <c r="B5" s="92"/>
      <c r="C5" s="92"/>
      <c r="D5" s="92"/>
      <c r="E5" s="92"/>
      <c r="F5" s="92"/>
      <c r="G5" s="92"/>
      <c r="H5" s="92"/>
      <c r="I5" s="92"/>
      <c r="J5" s="92"/>
    </row>
    <row r="6" spans="1:10" ht="19.5" customHeight="1" x14ac:dyDescent="0.25">
      <c r="A6" s="130" t="s">
        <v>429</v>
      </c>
      <c r="B6" s="130"/>
      <c r="C6" s="130"/>
      <c r="D6" s="167">
        <v>9</v>
      </c>
      <c r="E6" s="102" t="s">
        <v>430</v>
      </c>
      <c r="F6" s="102"/>
      <c r="G6" s="102"/>
      <c r="H6" s="102"/>
      <c r="I6" s="102"/>
      <c r="J6" s="102"/>
    </row>
    <row r="7" spans="1:10" ht="19.5" customHeight="1" x14ac:dyDescent="0.25">
      <c r="A7" s="130" t="s">
        <v>431</v>
      </c>
      <c r="B7" s="130"/>
      <c r="C7" s="130"/>
      <c r="D7" s="102" t="s">
        <v>432</v>
      </c>
      <c r="E7" s="102"/>
      <c r="F7" s="102"/>
      <c r="G7" s="102"/>
      <c r="H7" s="102"/>
      <c r="I7" s="102"/>
      <c r="J7" s="102"/>
    </row>
    <row r="9" spans="1:10" ht="21.75" customHeight="1" x14ac:dyDescent="0.25">
      <c r="A9" s="78" t="s">
        <v>365</v>
      </c>
      <c r="B9" s="78"/>
      <c r="C9" s="78"/>
      <c r="D9" s="78"/>
      <c r="E9" s="78"/>
      <c r="F9" s="78"/>
      <c r="G9" s="78"/>
      <c r="H9" s="78"/>
      <c r="I9" s="78"/>
      <c r="J9" s="78"/>
    </row>
    <row r="10" spans="1:10" ht="42" customHeight="1" x14ac:dyDescent="0.25">
      <c r="A10" s="79" t="s">
        <v>5</v>
      </c>
      <c r="B10" s="79" t="s">
        <v>113</v>
      </c>
      <c r="C10" s="79" t="s">
        <v>366</v>
      </c>
      <c r="D10" s="79" t="s">
        <v>367</v>
      </c>
      <c r="E10" s="79" t="s">
        <v>433</v>
      </c>
      <c r="F10" s="79" t="s">
        <v>340</v>
      </c>
      <c r="G10" s="79" t="s">
        <v>434</v>
      </c>
      <c r="H10" s="79" t="s">
        <v>435</v>
      </c>
      <c r="I10" s="79" t="s">
        <v>436</v>
      </c>
      <c r="J10" s="79" t="s">
        <v>12</v>
      </c>
    </row>
    <row r="11" spans="1:10" ht="21.75" customHeight="1" x14ac:dyDescent="0.25">
      <c r="A11" s="85">
        <v>1</v>
      </c>
      <c r="B11" s="141" t="s">
        <v>66</v>
      </c>
      <c r="C11" s="138">
        <v>1</v>
      </c>
      <c r="D11" s="142">
        <f>IF(C11&lt;=$D$6,SUMIFS('🗃️ Raw Data (Sample)'!J:J,'🗃️ Raw Data (Sample)'!A:A,"&gt;="&amp;DATE(2015,C11,1),'🗃️ Raw Data (Sample)'!A:A,"&lt;"&amp;DATE(2015,C11+1,1)),"")</f>
        <v>666938</v>
      </c>
      <c r="E11" s="143">
        <v>0.63</v>
      </c>
      <c r="F11" s="139">
        <v>665780</v>
      </c>
      <c r="G11" s="120" t="str">
        <f>IF(C11&gt;$D$6,ROUND(AVERAGE(D17:D19)*E11,0),"")</f>
        <v/>
      </c>
      <c r="H11" s="120">
        <f t="shared" ref="H11:H22" si="0">IF(C11&lt;=$D$6,D11,G11)</f>
        <v>666938</v>
      </c>
      <c r="I11" s="144">
        <f t="shared" ref="I11:I22" si="1">IF(AND(C11&lt;=$D$6,D11&lt;&gt;""),IF(F11&gt;0,(D11-F11)/F11,0),"")</f>
        <v>1.7393132866712728E-3</v>
      </c>
      <c r="J11" s="145" t="s">
        <v>437</v>
      </c>
    </row>
    <row r="12" spans="1:10" ht="21.75" customHeight="1" x14ac:dyDescent="0.25">
      <c r="A12" s="80">
        <v>2</v>
      </c>
      <c r="B12" s="146" t="s">
        <v>67</v>
      </c>
      <c r="C12" s="134">
        <v>2</v>
      </c>
      <c r="D12" s="142">
        <f>IF(C12&lt;=$D$6,SUMIFS('🗃️ Raw Data (Sample)'!J:J,'🗃️ Raw Data (Sample)'!A:A,"&gt;="&amp;DATE(2015,C12,1),'🗃️ Raw Data (Sample)'!A:A,"&lt;"&amp;DATE(2015,C12+1,1)),"")</f>
        <v>128067</v>
      </c>
      <c r="E12" s="147">
        <v>0.63</v>
      </c>
      <c r="F12" s="115">
        <v>672878</v>
      </c>
      <c r="G12" s="113" t="str">
        <f>IF(C12&gt;$D$6,ROUND(AVERAGE(D17:D19)*E12,0),"")</f>
        <v/>
      </c>
      <c r="H12" s="113">
        <f t="shared" si="0"/>
        <v>128067</v>
      </c>
      <c r="I12" s="116">
        <f t="shared" si="1"/>
        <v>-0.80967277872065957</v>
      </c>
      <c r="J12" s="148" t="s">
        <v>437</v>
      </c>
    </row>
    <row r="13" spans="1:10" ht="21.75" customHeight="1" x14ac:dyDescent="0.25">
      <c r="A13" s="85">
        <v>3</v>
      </c>
      <c r="B13" s="141" t="s">
        <v>68</v>
      </c>
      <c r="C13" s="138">
        <v>3</v>
      </c>
      <c r="D13" s="142">
        <f>IF(C13&lt;=$D$6,SUMIFS('🗃️ Raw Data (Sample)'!J:J,'🗃️ Raw Data (Sample)'!A:A,"&gt;="&amp;DATE(2015,C13,1),'🗃️ Raw Data (Sample)'!A:A,"&lt;"&amp;DATE(2015,C13+1,1)),"")</f>
        <v>0</v>
      </c>
      <c r="E13" s="143">
        <v>0.71</v>
      </c>
      <c r="F13" s="139">
        <v>712079</v>
      </c>
      <c r="G13" s="120" t="str">
        <f>IF(C13&gt;$D$6,ROUND(AVERAGE(D17:D19)*E13,0),"")</f>
        <v/>
      </c>
      <c r="H13" s="120">
        <f t="shared" si="0"/>
        <v>0</v>
      </c>
      <c r="I13" s="144">
        <f t="shared" si="1"/>
        <v>-1</v>
      </c>
      <c r="J13" s="145" t="s">
        <v>437</v>
      </c>
    </row>
    <row r="14" spans="1:10" ht="21.75" customHeight="1" x14ac:dyDescent="0.25">
      <c r="A14" s="80">
        <v>4</v>
      </c>
      <c r="B14" s="146" t="s">
        <v>69</v>
      </c>
      <c r="C14" s="134">
        <v>4</v>
      </c>
      <c r="D14" s="142">
        <f>IF(C14&lt;=$D$6,SUMIFS('🗃️ Raw Data (Sample)'!J:J,'🗃️ Raw Data (Sample)'!A:A,"&gt;="&amp;DATE(2015,C14,1),'🗃️ Raw Data (Sample)'!A:A,"&lt;"&amp;DATE(2015,C14+1,1)),"")</f>
        <v>0</v>
      </c>
      <c r="E14" s="147">
        <v>0.75</v>
      </c>
      <c r="F14" s="115">
        <v>728736</v>
      </c>
      <c r="G14" s="113" t="str">
        <f>IF(C14&gt;$D$6,ROUND(AVERAGE(D17:D19)*E14,0),"")</f>
        <v/>
      </c>
      <c r="H14" s="113">
        <f t="shared" si="0"/>
        <v>0</v>
      </c>
      <c r="I14" s="116">
        <f t="shared" si="1"/>
        <v>-1</v>
      </c>
      <c r="J14" s="148" t="s">
        <v>437</v>
      </c>
    </row>
    <row r="15" spans="1:10" ht="21.75" customHeight="1" x14ac:dyDescent="0.25">
      <c r="A15" s="85">
        <v>5</v>
      </c>
      <c r="B15" s="141" t="s">
        <v>70</v>
      </c>
      <c r="C15" s="138">
        <v>5</v>
      </c>
      <c r="D15" s="142">
        <f>IF(C15&lt;=$D$6,SUMIFS('🗃️ Raw Data (Sample)'!J:J,'🗃️ Raw Data (Sample)'!A:A,"&gt;="&amp;DATE(2015,C15,1),'🗃️ Raw Data (Sample)'!A:A,"&lt;"&amp;DATE(2015,C15+1,1)),"")</f>
        <v>0</v>
      </c>
      <c r="E15" s="143">
        <v>0.86</v>
      </c>
      <c r="F15" s="139">
        <v>901206</v>
      </c>
      <c r="G15" s="120" t="str">
        <f>IF(C15&gt;$D$6,ROUND(AVERAGE(D17:D19)*E15,0),"")</f>
        <v/>
      </c>
      <c r="H15" s="120">
        <f t="shared" si="0"/>
        <v>0</v>
      </c>
      <c r="I15" s="144">
        <f t="shared" si="1"/>
        <v>-1</v>
      </c>
      <c r="J15" s="145" t="s">
        <v>437</v>
      </c>
    </row>
    <row r="16" spans="1:10" ht="21.75" customHeight="1" x14ac:dyDescent="0.25">
      <c r="A16" s="80">
        <v>6</v>
      </c>
      <c r="B16" s="146" t="s">
        <v>71</v>
      </c>
      <c r="C16" s="134">
        <v>6</v>
      </c>
      <c r="D16" s="142">
        <f>IF(C16&lt;=$D$6,SUMIFS('🗃️ Raw Data (Sample)'!J:J,'🗃️ Raw Data (Sample)'!A:A,"&gt;="&amp;DATE(2015,C16,1),'🗃️ Raw Data (Sample)'!A:A,"&lt;"&amp;DATE(2015,C16+1,1)),"")</f>
        <v>0</v>
      </c>
      <c r="E16" s="147">
        <v>0.76</v>
      </c>
      <c r="F16" s="115">
        <v>786483</v>
      </c>
      <c r="G16" s="113" t="str">
        <f>IF(C16&gt;$D$6,ROUND(AVERAGE(D17:D19)*E16,0),"")</f>
        <v/>
      </c>
      <c r="H16" s="113">
        <f t="shared" si="0"/>
        <v>0</v>
      </c>
      <c r="I16" s="116">
        <f t="shared" si="1"/>
        <v>-1</v>
      </c>
      <c r="J16" s="148" t="s">
        <v>437</v>
      </c>
    </row>
    <row r="17" spans="1:10" ht="21.75" customHeight="1" x14ac:dyDescent="0.25">
      <c r="A17" s="85">
        <v>7</v>
      </c>
      <c r="B17" s="141" t="s">
        <v>72</v>
      </c>
      <c r="C17" s="138">
        <v>7</v>
      </c>
      <c r="D17" s="142">
        <f>IF(C17&lt;=$D$6,SUMIFS('🗃️ Raw Data (Sample)'!J:J,'🗃️ Raw Data (Sample)'!A:A,"&gt;="&amp;DATE(2015,C17,1),'🗃️ Raw Data (Sample)'!A:A,"&lt;"&amp;DATE(2015,C17+1,1)),"")</f>
        <v>0</v>
      </c>
      <c r="E17" s="143">
        <v>1.54</v>
      </c>
      <c r="F17" s="139">
        <v>1721640</v>
      </c>
      <c r="G17" s="120" t="str">
        <f>IF(C17&gt;$D$6,ROUND(AVERAGE(D17:D19)*E17,0),"")</f>
        <v/>
      </c>
      <c r="H17" s="120">
        <f t="shared" si="0"/>
        <v>0</v>
      </c>
      <c r="I17" s="144">
        <f t="shared" si="1"/>
        <v>-1</v>
      </c>
      <c r="J17" s="145" t="s">
        <v>437</v>
      </c>
    </row>
    <row r="18" spans="1:10" ht="21.75" customHeight="1" x14ac:dyDescent="0.25">
      <c r="A18" s="80">
        <v>8</v>
      </c>
      <c r="B18" s="146" t="s">
        <v>73</v>
      </c>
      <c r="C18" s="134">
        <v>8</v>
      </c>
      <c r="D18" s="142">
        <f>IF(C18&lt;=$D$6,SUMIFS('🗃️ Raw Data (Sample)'!J:J,'🗃️ Raw Data (Sample)'!A:A,"&gt;="&amp;DATE(2015,C18,1),'🗃️ Raw Data (Sample)'!A:A,"&lt;"&amp;DATE(2015,C18+1,1)),"")</f>
        <v>0</v>
      </c>
      <c r="E18" s="147">
        <v>1.87</v>
      </c>
      <c r="F18" s="115">
        <v>2139961</v>
      </c>
      <c r="G18" s="113" t="str">
        <f>IF(C18&gt;$D$6,ROUND(AVERAGE(D17:D19)*E18,0),"")</f>
        <v/>
      </c>
      <c r="H18" s="113">
        <f t="shared" si="0"/>
        <v>0</v>
      </c>
      <c r="I18" s="116">
        <f t="shared" si="1"/>
        <v>-1</v>
      </c>
      <c r="J18" s="148" t="s">
        <v>437</v>
      </c>
    </row>
    <row r="19" spans="1:10" ht="21.75" customHeight="1" x14ac:dyDescent="0.25">
      <c r="A19" s="85">
        <v>9</v>
      </c>
      <c r="B19" s="141" t="s">
        <v>74</v>
      </c>
      <c r="C19" s="138">
        <v>9</v>
      </c>
      <c r="D19" s="142">
        <f>IF(C19&lt;=$D$6,SUMIFS('🗃️ Raw Data (Sample)'!J:J,'🗃️ Raw Data (Sample)'!A:A,"&gt;="&amp;DATE(2015,C19,1),'🗃️ Raw Data (Sample)'!A:A,"&lt;"&amp;DATE(2015,C19+1,1)),"")</f>
        <v>0</v>
      </c>
      <c r="E19" s="143">
        <v>2.08</v>
      </c>
      <c r="F19" s="139">
        <v>2459901</v>
      </c>
      <c r="G19" s="120" t="str">
        <f>IF(C19&gt;$D$6,ROUND(AVERAGE(D17:D19)*E19,0),"")</f>
        <v/>
      </c>
      <c r="H19" s="120">
        <f t="shared" si="0"/>
        <v>0</v>
      </c>
      <c r="I19" s="144">
        <f t="shared" si="1"/>
        <v>-1</v>
      </c>
      <c r="J19" s="145" t="s">
        <v>437</v>
      </c>
    </row>
    <row r="20" spans="1:10" ht="21.75" customHeight="1" x14ac:dyDescent="0.25">
      <c r="A20" s="149">
        <v>10</v>
      </c>
      <c r="B20" s="150" t="s">
        <v>75</v>
      </c>
      <c r="C20" s="151">
        <v>10</v>
      </c>
      <c r="D20" s="152" t="str">
        <f>IF(C20&lt;=$D$6,SUMIFS('🗃️ Raw Data (Sample)'!J:J,'🗃️ Raw Data (Sample)'!A:A,"&gt;="&amp;DATE(2015,C20,1),'🗃️ Raw Data (Sample)'!A:A,"&lt;"&amp;DATE(2015,C20+1,1)),"")</f>
        <v/>
      </c>
      <c r="E20" s="153">
        <v>2.12</v>
      </c>
      <c r="F20" s="154">
        <v>2538826</v>
      </c>
      <c r="G20" s="155">
        <f>IF(C20&gt;$D$6,ROUND(AVERAGE(D17:D19)*E20,0),"")</f>
        <v>0</v>
      </c>
      <c r="H20" s="152">
        <f t="shared" si="0"/>
        <v>0</v>
      </c>
      <c r="I20" s="156" t="str">
        <f t="shared" si="1"/>
        <v/>
      </c>
      <c r="J20" s="157" t="s">
        <v>438</v>
      </c>
    </row>
    <row r="21" spans="1:10" ht="21.75" customHeight="1" x14ac:dyDescent="0.25">
      <c r="A21" s="149">
        <v>11</v>
      </c>
      <c r="B21" s="150" t="s">
        <v>76</v>
      </c>
      <c r="C21" s="151">
        <v>11</v>
      </c>
      <c r="D21" s="152" t="str">
        <f>IF(C21&lt;=$D$6,SUMIFS('🗃️ Raw Data (Sample)'!J:J,'🗃️ Raw Data (Sample)'!A:A,"&gt;="&amp;DATE(2015,C21,1),'🗃️ Raw Data (Sample)'!A:A,"&lt;"&amp;DATE(2015,C21+1,1)),"")</f>
        <v/>
      </c>
      <c r="E21" s="153">
        <v>2.34</v>
      </c>
      <c r="F21" s="154">
        <v>2835230</v>
      </c>
      <c r="G21" s="155">
        <f>IF(C21&gt;$D$6,ROUND(AVERAGE(D17:D19)*E21,0),"")</f>
        <v>0</v>
      </c>
      <c r="H21" s="152">
        <f t="shared" si="0"/>
        <v>0</v>
      </c>
      <c r="I21" s="156" t="str">
        <f t="shared" si="1"/>
        <v/>
      </c>
      <c r="J21" s="157" t="s">
        <v>438</v>
      </c>
    </row>
    <row r="22" spans="1:10" ht="21.75" customHeight="1" x14ac:dyDescent="0.25">
      <c r="A22" s="149">
        <v>12</v>
      </c>
      <c r="B22" s="150" t="s">
        <v>3</v>
      </c>
      <c r="C22" s="151">
        <v>12</v>
      </c>
      <c r="D22" s="152" t="str">
        <f>IF(C22&lt;=$D$6,SUMIFS('🗃️ Raw Data (Sample)'!J:J,'🗃️ Raw Data (Sample)'!A:A,"&gt;="&amp;DATE(2015,C22,1),'🗃️ Raw Data (Sample)'!A:A,"&lt;"&amp;DATE(2016,1,1)),"")</f>
        <v/>
      </c>
      <c r="E22" s="153">
        <v>3.3</v>
      </c>
      <c r="F22" s="154">
        <v>3849604</v>
      </c>
      <c r="G22" s="155">
        <f>IF(C22&gt;$D$6,ROUND(AVERAGE(D17:D19)*E22,0),"")</f>
        <v>0</v>
      </c>
      <c r="H22" s="152">
        <f t="shared" si="0"/>
        <v>0</v>
      </c>
      <c r="I22" s="156" t="str">
        <f t="shared" si="1"/>
        <v/>
      </c>
      <c r="J22" s="157" t="s">
        <v>438</v>
      </c>
    </row>
    <row r="23" spans="1:10" ht="24" customHeight="1" x14ac:dyDescent="0.25">
      <c r="A23" s="78" t="s">
        <v>439</v>
      </c>
      <c r="B23" s="78"/>
      <c r="C23" s="78"/>
      <c r="D23" s="90">
        <f>SUMIF(C11:C22,"&lt;="&amp;$D$6,D11:D22)</f>
        <v>795005</v>
      </c>
      <c r="E23" s="58"/>
      <c r="F23" s="90">
        <f>SUM(F11:F22)</f>
        <v>20012324</v>
      </c>
      <c r="G23" s="90">
        <f>SUM(G11:G22)</f>
        <v>0</v>
      </c>
      <c r="H23" s="90">
        <f>SUM(H11:H22)</f>
        <v>795005</v>
      </c>
      <c r="I23" s="58"/>
      <c r="J23" s="58"/>
    </row>
    <row r="25" spans="1:10" ht="21.75" customHeight="1" x14ac:dyDescent="0.25">
      <c r="A25" s="78" t="s">
        <v>440</v>
      </c>
      <c r="B25" s="78"/>
      <c r="C25" s="78"/>
      <c r="D25" s="78"/>
      <c r="E25" s="78"/>
      <c r="F25" s="78"/>
      <c r="G25" s="78"/>
      <c r="H25" s="78"/>
      <c r="I25" s="78"/>
      <c r="J25" s="78"/>
    </row>
    <row r="26" spans="1:10" ht="24" customHeight="1" x14ac:dyDescent="0.25">
      <c r="A26" s="158" t="s">
        <v>441</v>
      </c>
      <c r="B26" s="158"/>
      <c r="C26" s="158"/>
      <c r="D26" s="158"/>
      <c r="E26" s="158"/>
      <c r="F26" s="158"/>
      <c r="G26" s="159">
        <f>SUMIF(C11:C22,"&lt;="&amp;$D$6,D11:D22)</f>
        <v>795005</v>
      </c>
      <c r="H26" s="159"/>
      <c r="I26" s="159"/>
      <c r="J26" s="159"/>
    </row>
    <row r="27" spans="1:10" ht="24" customHeight="1" x14ac:dyDescent="0.25">
      <c r="A27" s="160" t="s">
        <v>442</v>
      </c>
      <c r="B27" s="160"/>
      <c r="C27" s="160"/>
      <c r="D27" s="160"/>
      <c r="E27" s="160"/>
      <c r="F27" s="160"/>
      <c r="G27" s="161">
        <f>SUMIF(C11:C22,"&gt;"&amp;$D$6,G11:G22)</f>
        <v>0</v>
      </c>
      <c r="H27" s="161"/>
      <c r="I27" s="161"/>
      <c r="J27" s="161"/>
    </row>
    <row r="28" spans="1:10" ht="24" customHeight="1" x14ac:dyDescent="0.25">
      <c r="A28" s="162" t="s">
        <v>443</v>
      </c>
      <c r="B28" s="162"/>
      <c r="C28" s="162"/>
      <c r="D28" s="162"/>
      <c r="E28" s="162"/>
      <c r="F28" s="162"/>
      <c r="G28" s="163">
        <f>B26+B27</f>
        <v>0</v>
      </c>
      <c r="H28" s="163"/>
      <c r="I28" s="163"/>
      <c r="J28" s="163"/>
    </row>
    <row r="29" spans="1:10" ht="24" customHeight="1" x14ac:dyDescent="0.25">
      <c r="A29" s="164" t="s">
        <v>444</v>
      </c>
      <c r="B29" s="164"/>
      <c r="C29" s="164"/>
      <c r="D29" s="164"/>
      <c r="E29" s="164"/>
      <c r="F29" s="164"/>
      <c r="G29" s="165">
        <f>SUM(F11:F22)</f>
        <v>20012324</v>
      </c>
      <c r="H29" s="165"/>
      <c r="I29" s="165"/>
      <c r="J29" s="165"/>
    </row>
    <row r="30" spans="1:10" ht="24" customHeight="1" x14ac:dyDescent="0.25">
      <c r="A30" s="158" t="s">
        <v>445</v>
      </c>
      <c r="B30" s="158"/>
      <c r="C30" s="158"/>
      <c r="D30" s="158"/>
      <c r="E30" s="158"/>
      <c r="F30" s="158"/>
      <c r="G30" s="166">
        <f>IF(B29&gt;0,(B28-B29)/B29,0)</f>
        <v>0</v>
      </c>
      <c r="H30" s="166"/>
      <c r="I30" s="166"/>
      <c r="J30" s="166"/>
    </row>
    <row r="32" spans="1:10" ht="21.75" customHeight="1" x14ac:dyDescent="0.25">
      <c r="A32" s="78" t="s">
        <v>411</v>
      </c>
      <c r="B32" s="78"/>
      <c r="C32" s="78"/>
      <c r="D32" s="78"/>
      <c r="E32" s="78"/>
      <c r="F32" s="78"/>
      <c r="G32" s="78"/>
      <c r="H32" s="78"/>
      <c r="I32" s="78"/>
      <c r="J32" s="78"/>
    </row>
    <row r="33" spans="1:10" ht="36" customHeight="1" x14ac:dyDescent="0.25">
      <c r="A33" s="100" t="s">
        <v>375</v>
      </c>
      <c r="B33" s="106" t="s">
        <v>446</v>
      </c>
      <c r="C33" s="106"/>
      <c r="D33" s="106"/>
      <c r="E33" s="106"/>
      <c r="F33" s="107" t="s">
        <v>447</v>
      </c>
      <c r="G33" s="107"/>
      <c r="H33" s="107"/>
      <c r="I33" s="107"/>
      <c r="J33" s="107"/>
    </row>
    <row r="34" spans="1:10" ht="36" customHeight="1" x14ac:dyDescent="0.25">
      <c r="A34" s="103" t="s">
        <v>448</v>
      </c>
      <c r="B34" s="108" t="s">
        <v>449</v>
      </c>
      <c r="C34" s="108"/>
      <c r="D34" s="108"/>
      <c r="E34" s="108"/>
      <c r="F34" s="109" t="s">
        <v>450</v>
      </c>
      <c r="G34" s="109"/>
      <c r="H34" s="109"/>
      <c r="I34" s="109"/>
      <c r="J34" s="109"/>
    </row>
    <row r="35" spans="1:10" ht="36" customHeight="1" x14ac:dyDescent="0.25">
      <c r="A35" s="100" t="s">
        <v>451</v>
      </c>
      <c r="B35" s="106" t="s">
        <v>452</v>
      </c>
      <c r="C35" s="106"/>
      <c r="D35" s="106"/>
      <c r="E35" s="106"/>
      <c r="F35" s="107" t="s">
        <v>453</v>
      </c>
      <c r="G35" s="107"/>
      <c r="H35" s="107"/>
      <c r="I35" s="107"/>
      <c r="J35" s="107"/>
    </row>
    <row r="36" spans="1:10" ht="36" customHeight="1" x14ac:dyDescent="0.25">
      <c r="A36" s="103" t="s">
        <v>454</v>
      </c>
      <c r="B36" s="108" t="s">
        <v>455</v>
      </c>
      <c r="C36" s="108"/>
      <c r="D36" s="108"/>
      <c r="E36" s="108"/>
      <c r="F36" s="109" t="s">
        <v>456</v>
      </c>
      <c r="G36" s="109"/>
      <c r="H36" s="109"/>
      <c r="I36" s="109"/>
      <c r="J36" s="109"/>
    </row>
  </sheetData>
  <mergeCells count="30">
    <mergeCell ref="B36:E36"/>
    <mergeCell ref="F36:J36"/>
    <mergeCell ref="B33:E33"/>
    <mergeCell ref="F33:J33"/>
    <mergeCell ref="B34:E34"/>
    <mergeCell ref="F34:J34"/>
    <mergeCell ref="B35:E35"/>
    <mergeCell ref="F35:J35"/>
    <mergeCell ref="A29:F29"/>
    <mergeCell ref="G29:J29"/>
    <mergeCell ref="A30:F30"/>
    <mergeCell ref="G30:J30"/>
    <mergeCell ref="A32:J32"/>
    <mergeCell ref="A26:F26"/>
    <mergeCell ref="G26:J26"/>
    <mergeCell ref="A27:F27"/>
    <mergeCell ref="G27:J27"/>
    <mergeCell ref="A28:F28"/>
    <mergeCell ref="G28:J28"/>
    <mergeCell ref="A7:C7"/>
    <mergeCell ref="D7:J7"/>
    <mergeCell ref="A9:J9"/>
    <mergeCell ref="A23:C23"/>
    <mergeCell ref="A25:J25"/>
    <mergeCell ref="A1:J1"/>
    <mergeCell ref="A2:J2"/>
    <mergeCell ref="A3:J3"/>
    <mergeCell ref="A5:J5"/>
    <mergeCell ref="A6:C6"/>
    <mergeCell ref="E6:J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✅ Closing Checklist</vt:lpstr>
      <vt:lpstr>📊 Monthly P&amp;L (GuV)</vt:lpstr>
      <vt:lpstr>📋 Annual Closing</vt:lpstr>
      <vt:lpstr>📐 Accruals (ARAP-PRAP)</vt:lpstr>
      <vt:lpstr>📖 Legende &amp; Formeln</vt:lpstr>
      <vt:lpstr>🗃️ Raw Data (Sample)</vt:lpstr>
      <vt:lpstr>🧮 Excel Calculations</vt:lpstr>
      <vt:lpstr>📊 KPI Dashboard</vt:lpstr>
      <vt:lpstr>📋 Plan-Ist Vergleich</vt:lpstr>
      <vt:lpstr>🧮 Deckungsbeitrag</vt:lpstr>
      <vt:lpstr>📈 Rolling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1</cp:revision>
  <dcterms:created xsi:type="dcterms:W3CDTF">2026-06-04T11:59:19Z</dcterms:created>
  <dcterms:modified xsi:type="dcterms:W3CDTF">2026-06-12T18:57:45Z</dcterms:modified>
  <dc:language>en-US</dc:language>
</cp:coreProperties>
</file>