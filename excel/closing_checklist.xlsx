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PROJECT 2026\RetailCo Financial Analysis\excel\"/>
    </mc:Choice>
  </mc:AlternateContent>
  <xr:revisionPtr revIDLastSave="0" documentId="13_ncr:1_{51F062E9-11FD-408F-8971-EE868736FBAD}" xr6:coauthVersionLast="47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✅ Closing Checklist" sheetId="1" r:id="rId1"/>
    <sheet name="📊 Monthly P&amp;L (GuV)" sheetId="2" r:id="rId2"/>
    <sheet name="📋 Annual Closing" sheetId="3" r:id="rId3"/>
    <sheet name="📐 Accruals (ARAP-PRAP)" sheetId="4" r:id="rId4"/>
    <sheet name="📖 Legende &amp; Formeln" sheetId="5" r:id="rId5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4" l="1"/>
  <c r="C21" i="4"/>
  <c r="E21" i="4" s="1"/>
  <c r="G20" i="4"/>
  <c r="F20" i="4"/>
  <c r="H20" i="4" s="1"/>
  <c r="E20" i="4"/>
  <c r="G19" i="4"/>
  <c r="F19" i="4"/>
  <c r="E19" i="4"/>
  <c r="H19" i="4" s="1"/>
  <c r="G18" i="4"/>
  <c r="F18" i="4"/>
  <c r="H18" i="4" s="1"/>
  <c r="E18" i="4"/>
  <c r="G17" i="4"/>
  <c r="F17" i="4"/>
  <c r="E17" i="4"/>
  <c r="H17" i="4" s="1"/>
  <c r="G16" i="4"/>
  <c r="F16" i="4"/>
  <c r="H16" i="4" s="1"/>
  <c r="E16" i="4"/>
  <c r="G15" i="4"/>
  <c r="F15" i="4"/>
  <c r="E15" i="4"/>
  <c r="H15" i="4" s="1"/>
  <c r="G14" i="4"/>
  <c r="F14" i="4"/>
  <c r="H14" i="4" s="1"/>
  <c r="E14" i="4"/>
  <c r="G13" i="4"/>
  <c r="F13" i="4"/>
  <c r="E13" i="4"/>
  <c r="H13" i="4" s="1"/>
  <c r="G12" i="4"/>
  <c r="F12" i="4"/>
  <c r="H12" i="4" s="1"/>
  <c r="E12" i="4"/>
  <c r="G11" i="4"/>
  <c r="F11" i="4"/>
  <c r="E11" i="4"/>
  <c r="H11" i="4" s="1"/>
  <c r="G10" i="4"/>
  <c r="F10" i="4"/>
  <c r="H10" i="4" s="1"/>
  <c r="E10" i="4"/>
  <c r="G9" i="4"/>
  <c r="G21" i="4" s="1"/>
  <c r="F9" i="4"/>
  <c r="F21" i="4" s="1"/>
  <c r="E9" i="4"/>
  <c r="H9" i="4" s="1"/>
  <c r="G14" i="3"/>
  <c r="H14" i="3" s="1"/>
  <c r="D14" i="3"/>
  <c r="C14" i="3"/>
  <c r="E14" i="3" s="1"/>
  <c r="F14" i="3" s="1"/>
  <c r="J13" i="3"/>
  <c r="H13" i="3"/>
  <c r="I13" i="3" s="1"/>
  <c r="F13" i="3"/>
  <c r="E13" i="3"/>
  <c r="J12" i="3"/>
  <c r="H12" i="3"/>
  <c r="I12" i="3" s="1"/>
  <c r="E12" i="3"/>
  <c r="F12" i="3" s="1"/>
  <c r="J11" i="3"/>
  <c r="I11" i="3"/>
  <c r="H11" i="3"/>
  <c r="E11" i="3"/>
  <c r="K11" i="3" s="1"/>
  <c r="K10" i="3"/>
  <c r="J10" i="3"/>
  <c r="I10" i="3"/>
  <c r="H10" i="3"/>
  <c r="F10" i="3"/>
  <c r="E10" i="3"/>
  <c r="J9" i="3"/>
  <c r="H9" i="3"/>
  <c r="I9" i="3" s="1"/>
  <c r="F9" i="3"/>
  <c r="E9" i="3"/>
  <c r="I8" i="3"/>
  <c r="H8" i="3"/>
  <c r="E8" i="3"/>
  <c r="K9" i="3" s="1"/>
  <c r="L19" i="2"/>
  <c r="K19" i="2"/>
  <c r="G19" i="2"/>
  <c r="D19" i="2"/>
  <c r="E19" i="2" s="1"/>
  <c r="F19" i="2" s="1"/>
  <c r="C19" i="2"/>
  <c r="H19" i="2" s="1"/>
  <c r="L18" i="2"/>
  <c r="K18" i="2"/>
  <c r="H18" i="2"/>
  <c r="I18" i="2" s="1"/>
  <c r="J18" i="2" s="1"/>
  <c r="F18" i="2"/>
  <c r="E18" i="2"/>
  <c r="M18" i="2" s="1"/>
  <c r="L17" i="2"/>
  <c r="K17" i="2"/>
  <c r="H17" i="2"/>
  <c r="I17" i="2" s="1"/>
  <c r="J17" i="2" s="1"/>
  <c r="F17" i="2"/>
  <c r="E17" i="2"/>
  <c r="M17" i="2" s="1"/>
  <c r="L16" i="2"/>
  <c r="K16" i="2"/>
  <c r="H16" i="2"/>
  <c r="I16" i="2" s="1"/>
  <c r="J16" i="2" s="1"/>
  <c r="F16" i="2"/>
  <c r="E16" i="2"/>
  <c r="M16" i="2" s="1"/>
  <c r="L15" i="2"/>
  <c r="K15" i="2"/>
  <c r="H15" i="2"/>
  <c r="I15" i="2" s="1"/>
  <c r="J15" i="2" s="1"/>
  <c r="F15" i="2"/>
  <c r="E15" i="2"/>
  <c r="M15" i="2" s="1"/>
  <c r="L14" i="2"/>
  <c r="K14" i="2"/>
  <c r="H14" i="2"/>
  <c r="I14" i="2" s="1"/>
  <c r="J14" i="2" s="1"/>
  <c r="F14" i="2"/>
  <c r="E14" i="2"/>
  <c r="M14" i="2" s="1"/>
  <c r="L13" i="2"/>
  <c r="K13" i="2"/>
  <c r="H13" i="2"/>
  <c r="I13" i="2" s="1"/>
  <c r="J13" i="2" s="1"/>
  <c r="F13" i="2"/>
  <c r="E13" i="2"/>
  <c r="M13" i="2" s="1"/>
  <c r="L12" i="2"/>
  <c r="K12" i="2"/>
  <c r="H12" i="2"/>
  <c r="I12" i="2" s="1"/>
  <c r="J12" i="2" s="1"/>
  <c r="F12" i="2"/>
  <c r="E12" i="2"/>
  <c r="M12" i="2" s="1"/>
  <c r="L11" i="2"/>
  <c r="K11" i="2"/>
  <c r="H11" i="2"/>
  <c r="I11" i="2" s="1"/>
  <c r="J11" i="2" s="1"/>
  <c r="F11" i="2"/>
  <c r="E11" i="2"/>
  <c r="M11" i="2" s="1"/>
  <c r="L10" i="2"/>
  <c r="K10" i="2"/>
  <c r="H10" i="2"/>
  <c r="I10" i="2" s="1"/>
  <c r="J10" i="2" s="1"/>
  <c r="F10" i="2"/>
  <c r="E10" i="2"/>
  <c r="M10" i="2" s="1"/>
  <c r="L9" i="2"/>
  <c r="K9" i="2"/>
  <c r="H9" i="2"/>
  <c r="I9" i="2" s="1"/>
  <c r="J9" i="2" s="1"/>
  <c r="F9" i="2"/>
  <c r="E9" i="2"/>
  <c r="M9" i="2" s="1"/>
  <c r="L8" i="2"/>
  <c r="K8" i="2"/>
  <c r="H8" i="2"/>
  <c r="I8" i="2" s="1"/>
  <c r="J8" i="2" s="1"/>
  <c r="F8" i="2"/>
  <c r="E8" i="2"/>
  <c r="M8" i="2" s="1"/>
  <c r="L7" i="2"/>
  <c r="K7" i="2"/>
  <c r="H7" i="2"/>
  <c r="I7" i="2" s="1"/>
  <c r="J7" i="2" s="1"/>
  <c r="F7" i="2"/>
  <c r="E7" i="2"/>
  <c r="M7" i="2" s="1"/>
  <c r="H21" i="4" l="1"/>
  <c r="I19" i="2"/>
  <c r="J19" i="2" s="1"/>
  <c r="M19" i="2"/>
  <c r="I14" i="3"/>
  <c r="F8" i="3"/>
  <c r="F11" i="3"/>
  <c r="K13" i="3"/>
  <c r="K12" i="3"/>
</calcChain>
</file>

<file path=xl/sharedStrings.xml><?xml version="1.0" encoding="utf-8"?>
<sst xmlns="http://schemas.openxmlformats.org/spreadsheetml/2006/main" count="276" uniqueCount="231">
  <si>
    <t>MONATSABSCHLUSS-CHECKLISTE / MONTHLY CLOSING CHECKLIST</t>
  </si>
  <si>
    <t>RetailCo Financial Analysis  |  Bike Sales 2011–2016</t>
  </si>
  <si>
    <t>Berichtsperiode / Reporting Period:</t>
  </si>
  <si>
    <t>2015-12</t>
  </si>
  <si>
    <t>← Hier Periode eingeben / Enter period here</t>
  </si>
  <si>
    <t>#</t>
  </si>
  <si>
    <t>Aufgabe (DE) / Task (EN)</t>
  </si>
  <si>
    <t>Beschreibung / Description</t>
  </si>
  <si>
    <t>Verantw. / Responsible</t>
  </si>
  <si>
    <t>Fällig / Due</t>
  </si>
  <si>
    <t>Herkunft / Data Source</t>
  </si>
  <si>
    <t>Status</t>
  </si>
  <si>
    <t>Kommentar / Comment</t>
  </si>
  <si>
    <t>Rohdaten prüfen
Verify raw data</t>
  </si>
  <si>
    <t>Vollständigkeit &amp; Qualität der Transaktionsdaten /
Completeness &amp; quality of transaction data</t>
  </si>
  <si>
    <t>Buchhalter /
Accountant</t>
  </si>
  <si>
    <t>WD-3</t>
  </si>
  <si>
    <t>bike_sales_clean.csv
(Modul 0 Output)</t>
  </si>
  <si>
    <t>⏳ Pending</t>
  </si>
  <si>
    <t>Umsatzabstimmung
Revenue reconciliation</t>
  </si>
  <si>
    <t>Summe aller Transaktionen = aggregierter Monatsumsatz;
prüfen ob tx_revenue == agg_revenue (Δ = 0)</t>
  </si>
  <si>
    <t>WD-2</t>
  </si>
  <si>
    <t>df['revenue'].sum()
vs. monthly['Umsatz_Ist'].sum()</t>
  </si>
  <si>
    <t>Kostenabstimmung
Cost reconciliation</t>
  </si>
  <si>
    <t>COGS Transaktionen vs. Hauptbuch;
df['cost'].sum() == monthly['Kosten_Ist'].sum()</t>
  </si>
  <si>
    <t>df['cost'].sum()
vs. monthly['Kosten_Ist'].sum()</t>
  </si>
  <si>
    <t>Rechnungsabgrenzung
Accruals posting</t>
  </si>
  <si>
    <t>ARAP = 5% × Umsatz_Ist (aktive Abgrenzung / prepaid)
PRAP = 3% × Kosten_Ist (passive Abgrenzung / deferred)
Ergebnis_bereinigt = Ergebnis – ARAP + PRAP</t>
  </si>
  <si>
    <t>WD-1</t>
  </si>
  <si>
    <t>Modul 1 Zelle:
ARAP_RATE=0.05
PRAP_RATE=0.03</t>
  </si>
  <si>
    <t>Plan-Ist-Abgleich
Budget vs. Actual</t>
  </si>
  <si>
    <t>Abweichung % = (Ist − Plan) / Plan × 100
Materialitätsschwelle: ≥5% → Kommentarpflicht
RAG: Grün ≥3%, Amber −3%..+3%, Rot &lt;−3%</t>
  </si>
  <si>
    <t>Controller</t>
  </si>
  <si>
    <t>monthly['Umsatz_Abw_pct']
= (Ist−Plan)/Plan×100</t>
  </si>
  <si>
    <t>GuV erstellen
Prepare P&amp;L</t>
  </si>
  <si>
    <t>Monatliche GuV im Format:
Umsatz − COGS = Bruttoergebnis
Bruttomarge % = Bruttoergebnis / Umsatz</t>
  </si>
  <si>
    <t>Sheet 'Monthly P&amp;L'
dieses Workbooks</t>
  </si>
  <si>
    <t>Management Review</t>
  </si>
  <si>
    <t>Freigabe durch CFO / Sign-off by CFO
Prüfung Abweichungskommentare und RAG-Status</t>
  </si>
  <si>
    <t>CFO /
Leitung</t>
  </si>
  <si>
    <t>WD 0</t>
  </si>
  <si>
    <t>Abweichungskommentare
aus Modul 1 Zelle 6</t>
  </si>
  <si>
    <t>Bericht versenden
Distribute report</t>
  </si>
  <si>
    <t>Management Summary an Stakeholder /
Send summary to stakeholders</t>
  </si>
  <si>
    <t>management_summary
_DE/EN.pdf</t>
  </si>
  <si>
    <t>Archivierung
Archive</t>
  </si>
  <si>
    <t>Alle Belege &amp; Reports ins Archiv /
All documents &amp; reports to archive</t>
  </si>
  <si>
    <t>WD+1</t>
  </si>
  <si>
    <t>closing_checklist.xlsx
+ alle Outputs</t>
  </si>
  <si>
    <t>Legende / Legend:   ✅ Erledigt/Done   🔄 In Bearbeitung/In Progress   ⏳ Pending/Ausstehend   ❌ Offen/Open     |     WD = Arbeitstag / Working Day  (WD-3 = 3 Tage vor Abschluss / 3 days before closing)     |     Herkunft = Datenquelle/Formel aus Notebook / Data source &amp; formula from Notebook</t>
  </si>
  <si>
    <t>MONATLICHE GEWINN- UND VERLUSTRECHNUNG / MONTHLY PROFIT &amp; LOSS STATEMENT</t>
  </si>
  <si>
    <t>RetailCo Financial Analysis  |  Bike Sales 2011–2016  |  Alle Beträge in USD / All amounts in USD</t>
  </si>
  <si>
    <t>Formeln: GP=Umsatz−COGS | Marge%=GP/Umsatz | Abw.abs=Ist−Plan | Abw.%=Abw.abs/Plan | ARAP=Umsatz×5% | PRAP=COGS×3% | Berein.Erg=GP−ARAP+PRAP | RAG: 🟢≥+3% 🟡±3% 🔴&lt;-3%  → Details siehe Sheet '📖 Legende &amp; Formeln'</t>
  </si>
  <si>
    <t>Farbcode: 🔵 Blau = Eingabe aus Rohdaten/CSV  |  🟢 Grün = Excel-Formel  |  🟡 Gelb = Summenzeile  |  Datenquelle: bike_sales_clean.csv via Modul 1 Notebook</t>
  </si>
  <si>
    <t>GJ/FY</t>
  </si>
  <si>
    <t>Periode/Period</t>
  </si>
  <si>
    <t>Umsatz_Ist
(Revenue)</t>
  </si>
  <si>
    <t>COGS_Ist
(Costs)</t>
  </si>
  <si>
    <t>Bruttoerg.
(Gross Profit)</t>
  </si>
  <si>
    <t>Brutto-
marge %</t>
  </si>
  <si>
    <t>Plan
(Budget)</t>
  </si>
  <si>
    <t>Abw.abs
(Var.abs)</t>
  </si>
  <si>
    <t>Abw.%
(Var.%)</t>
  </si>
  <si>
    <t>RAG</t>
  </si>
  <si>
    <t>ARAP
(5% Umsatz)</t>
  </si>
  <si>
    <t>PRAP
(3% COGS)</t>
  </si>
  <si>
    <t>Erg.bereinigt
(Adj.Result)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</si>
  <si>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</si>
  <si>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</si>
  <si>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</si>
  <si>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</si>
  <si>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</si>
  <si>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</si>
  <si>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</si>
  <si>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</si>
  <si>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</si>
  <si>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</si>
  <si>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</si>
  <si>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GESAMT 2015 / TOTAL 2015</t>
  </si>
  <si>
    <t>Farbcode / Color Code:   🔵 Blau = Hardcodierte Eingaben (aus Rohdaten/Notebook) / Blue = Hardcoded inputs from raw data   🟢 Grün = Formeln (innerhalb dieses Sheets) / Green = Formulas within sheet   🟡 Gelb = Summenzeilen / Yellow = Total rows   |   ARAP = Aktive Rechnungsabgrenzung (Prepaid)   PRAP = Passive Rechnungsabgrenzung (Deferred)</t>
  </si>
  <si>
    <t>JAHRESABSCHLUSS / ANNUAL CLOSING STATEMENT — RetailCo 2011–2016</t>
  </si>
  <si>
    <t>Bruttomarge = Bruttoergebnis / Umsatz  |  Wachstum = YoY-Veränderung  |  Alle Beträge in USD</t>
  </si>
  <si>
    <t>FORMELN / FORMULAS</t>
  </si>
  <si>
    <t>Bruttoergebnis / GP</t>
  </si>
  <si>
    <t>Formel: =umsatz − COGS  →  =C{r}−D{r}</t>
  </si>
  <si>
    <t>Bruttomarge %</t>
  </si>
  <si>
    <t>Formel: =bruttoergebnis / umsatz  →  =E{r}/C{r}</t>
  </si>
  <si>
    <t>Umsatz-Plan-Abw.abs</t>
  </si>
  <si>
    <t>Formel: =umsatz_ist − Budget  →  =C{r}−G{r}</t>
  </si>
  <si>
    <t>Umsatz-Plan-Abw.%</t>
  </si>
  <si>
    <t>Formel: =(ist−Plan)/Plan  →  =H{r}/G{r})</t>
  </si>
  <si>
    <t>YoY Wachstum Umsatz</t>
  </si>
  <si>
    <t xml:space="preserve"> =(umsatz_t − Umsatz_{t-1}) / Umsatz_{t-1}  →  =(C{r}−C{r-1})/C{r-1}))</t>
  </si>
  <si>
    <t>YoY Wachstum Ergebnis</t>
  </si>
  <si>
    <t xml:space="preserve"> =analog zu umsatz-wachstum  →  =(E{r}−E{r-1})/E{r-1}</t>
  </si>
  <si>
    <t>Umsatz
(Revenue)</t>
  </si>
  <si>
    <t>COGS
(Costs)</t>
  </si>
  <si>
    <t>Bruttoergebnis
(Gross Profit)</t>
  </si>
  <si>
    <t>Plan-Abw.abs
(Var.abs)</t>
  </si>
  <si>
    <t>Plan-Abw.%
(Var.%)</t>
  </si>
  <si>
    <t>YoY Umsatz
Wachstum %</t>
  </si>
  <si>
    <t>YoY Ergebnis
Wachstum %</t>
  </si>
  <si>
    <t>Basisjahr / Base</t>
  </si>
  <si>
    <t>GESAMT / TOTAL</t>
  </si>
  <si>
    <t>—</t>
  </si>
  <si>
    <t>RECHNUNGSABGRENZUNGSPOSTEN / ACCRUALS &amp; DEFERRALS — 2015</t>
  </si>
  <si>
    <t>WAS IST RECHNUNGSABGRENZUNG? / WHAT IS ACCRUAL ACCOUNTING?</t>
  </si>
  <si>
    <t>DE: Rechnungsabgrenzungsposten stellen sicher, dass Erträge und Aufwendungen der richtigen Periode zugeordnet werden (Periodenabgrenzungsprinzip nach HGB/IFRS). Einnahmen oder Ausgaben, die periodenübergreifend wirken, werden aufgeteilt.</t>
  </si>
  <si>
    <t>EN: Accruals ensure revenues and expenses are recorded in the period they occur, not when cash changes hands (matching principle). This creates a more accurate picture of financial performance.</t>
  </si>
  <si>
    <t>ANNAHMEN / ASSUMPTIONS (Eingabe / Input)</t>
  </si>
  <si>
    <t>ARAP-Rate (Prepaid Revenue):</t>
  </si>
  <si>
    <t>5% des Umsatzes wird im Folgemonat fakturiert / 5% of revenue billed next month → Aktive Rechnungsabgrenzung (ARAP) / Asset on balance sheet</t>
  </si>
  <si>
    <t>PRAP-Rate (Deferred Cost):</t>
  </si>
  <si>
    <t>3% der Kosten betreffen Folgeperiode / 3% of costs belong to next period → Passive Rechnungsabgrenzung (PRAP) / Liability on balance sheet</t>
  </si>
  <si>
    <t>Periode
/Period</t>
  </si>
  <si>
    <t>Ergebnis_Ist
(Gross Profit)</t>
  </si>
  <si>
    <t>ARAP
=Umsatz×B7</t>
  </si>
  <si>
    <t>PRAP
=COGS×G7</t>
  </si>
  <si>
    <t>Ergebnis_bereinigt
=GP−ARAP+PRAP</t>
  </si>
  <si>
    <t>ARAP-Erläuterung
/Explanation</t>
  </si>
  <si>
    <t>PRAP-Erläuterung
/Explanation</t>
  </si>
  <si>
    <t>ARAP = 666,938 × 5% = Umsatz wird im Folgemonat fakturiert / revenue billed next month → Aktivseite Bilanz / Balance sheet asset</t>
  </si>
  <si>
    <t>PRAP = 447,744 × 3% = Kosten betreffen Folgeperiode / costs belong to next period → Passivseite Bilanz / Balance sheet liability</t>
  </si>
  <si>
    <t>ARAP = 679,246 × 5% = Umsatz wird im Folgemonat fakturiert / revenue billed next month → Aktivseite Bilanz / Balance sheet asset</t>
  </si>
  <si>
    <t>PRAP = 458,635 × 3% = Kosten betreffen Folgeperiode / costs belong to next period → Passivseite Bilanz / Balance sheet liability</t>
  </si>
  <si>
    <t>ARAP = 714,008 × 5% = Umsatz wird im Folgemonat fakturiert / revenue billed next month → Aktivseite Bilanz / Balance sheet asset</t>
  </si>
  <si>
    <t>PRAP = 477,922 × 3% = Kosten betreffen Folgeperiode / costs belong to next period → Passivseite Bilanz / Balance sheet liability</t>
  </si>
  <si>
    <t>ARAP = 734,608 × 5% = Umsatz wird im Folgemonat fakturiert / revenue billed next month → Aktivseite Bilanz / Balance sheet asset</t>
  </si>
  <si>
    <t>PRAP = 497,020 × 3% = Kosten betreffen Folgeperiode / costs belong to next period → Passivseite Bilanz / Balance sheet liability</t>
  </si>
  <si>
    <t>ARAP = 895,043 × 5% = Umsatz wird im Folgemonat fakturiert / revenue billed next month → Aktivseite Bilanz / Balance sheet asset</t>
  </si>
  <si>
    <t>PRAP = 597,749 × 3% = Kosten betreffen Folgeperiode / costs belong to next period → Passivseite Bilanz / Balance sheet liability</t>
  </si>
  <si>
    <t>ARAP = 786,480 × 5% = Umsatz wird im Folgemonat fakturiert / revenue billed next month → Aktivseite Bilanz / Balance sheet asset</t>
  </si>
  <si>
    <t>PRAP = 527,616 × 3% = Kosten betreffen Folgeperiode / costs belong to next period → Passivseite Bilanz / Balance sheet liability</t>
  </si>
  <si>
    <t>ARAP = 1,728,398 × 5% = Umsatz wird im Folgemonat fakturiert / revenue billed next month → Aktivseite Bilanz / Balance sheet asset</t>
  </si>
  <si>
    <t>PRAP = 1,118,446 × 3% = Kosten betreffen Folgeperiode / costs belong to next period → Passivseite Bilanz / Balance sheet liability</t>
  </si>
  <si>
    <t>ARAP = 2,140,581 × 5% = Umsatz wird im Folgemonat fakturiert / revenue billed next month → Aktivseite Bilanz / Balance sheet asset</t>
  </si>
  <si>
    <t>PRAP = 1,264,046 × 3% = Kosten betreffen Folgeperiode / costs belong to next period → Passivseite Bilanz / Balance sheet liability</t>
  </si>
  <si>
    <t>ARAP = 2,465,172 × 5% = Umsatz wird im Folgemonat fakturiert / revenue billed next month → Aktivseite Bilanz / Balance sheet asset</t>
  </si>
  <si>
    <t>PRAP = 1,478,781 × 3% = Kosten betreffen Folgeperiode / costs belong to next period → Passivseite Bilanz / Balance sheet liability</t>
  </si>
  <si>
    <t>ARAP = 2,529,084 × 5% = Umsatz wird im Folgemonat fakturiert / revenue billed next month → Aktivseite Bilanz / Balance sheet asset</t>
  </si>
  <si>
    <t>PRAP = 1,528,465 × 3% = Kosten betreffen Folgeperiode / costs belong to next period → Passivseite Bilanz / Balance sheet liability</t>
  </si>
  <si>
    <t>ARAP = 2,836,222 × 5% = Umsatz wird im Folgemonat fakturiert / revenue billed next month → Aktivseite Bilanz / Balance sheet asset</t>
  </si>
  <si>
    <t>PRAP = 1,730,335 × 3% = Kosten betreffen Folgeperiode / costs belong to next period → Passivseite Bilanz / Balance sheet liability</t>
  </si>
  <si>
    <t>ARAP = 3,848,211 × 5% = Umsatz wird im Folgemonat fakturiert / revenue billed next month → Aktivseite Bilanz / Balance sheet asset</t>
  </si>
  <si>
    <t>PRAP = 2,368,669 × 3% = Kosten betreffen Folgeperiode / costs belong to next period → Passivseite Bilanz / Balance sheet liability</t>
  </si>
  <si>
    <t>GESAMT / TOTAL 2015</t>
  </si>
  <si>
    <t>BUCHUNGSSÄTZE / ACCOUNTING ENTRIES (Simulation / HGB-Logik)</t>
  </si>
  <si>
    <t>ARAP (Aktiv)</t>
  </si>
  <si>
    <t>Soll / Debit</t>
  </si>
  <si>
    <t>Aktive Rechnungsabgrenzung (ARAP)</t>
  </si>
  <si>
    <t>an / Credit</t>
  </si>
  <si>
    <t>Umsatzerlöse</t>
  </si>
  <si>
    <t>Formel: =5% des umsatzes wird auf die nächste periode verschoben. ergebnis sinkt / revenue deferred to next period → profit decreases</t>
  </si>
  <si>
    <t>PRAP (Passiv)</t>
  </si>
  <si>
    <t>Aufwand (COGS)</t>
  </si>
  <si>
    <t>Passive Rechnungsabgrenzung (PRAP)</t>
  </si>
  <si>
    <t>Formel: =3% der kosten betreffen die nächste periode. aufwand dieser periode sinkt / cost deferred → current period expense decreases</t>
  </si>
  <si>
    <t>LEGENDE, FARBCODES &amp; FORMELREFERENZ / LEGEND, COLOR CODES &amp; FORMULA REFERENCE</t>
  </si>
  <si>
    <t>FARBCODES / COLOR CODES</t>
  </si>
  <si>
    <t>🔵 Blau / Blue text</t>
  </si>
  <si>
    <t>Hardcodierte Eingaben aus Rohdaten (CSV) oder Notebook / Hardcoded inputs from raw data or notebook</t>
  </si>
  <si>
    <t>🟢 Grüner Text / Green text</t>
  </si>
  <si>
    <t>Formeln, die innerhalb des gleichen Sheets berechnet werden / Formulas calculated within same sheet</t>
  </si>
  <si>
    <t>🔴 Roter Text / Red text</t>
  </si>
  <si>
    <t>Externe Verknüpfungen (andere Dateien) / External links to other files</t>
  </si>
  <si>
    <t>🟡 Gelber Hintergrund / Yellow bg</t>
  </si>
  <si>
    <t>Summenzeilen und Ergebniszellen / Total rows and result cells</t>
  </si>
  <si>
    <t>🔵 Hellblauer Hintergrund / Light blue bg</t>
  </si>
  <si>
    <t>Eingabezellen (änderbar) / Input cells (editable)</t>
  </si>
  <si>
    <t>⬜ Weiß / White bg</t>
  </si>
  <si>
    <t>Formelzellen / Formula cells</t>
  </si>
  <si>
    <t>🩶 Grau / Grey bg</t>
  </si>
  <si>
    <t>Alternierende Datenzeilen / Alternating data rows</t>
  </si>
  <si>
    <t>ABKÜRZUNGEN / ABBREVIATIONS</t>
  </si>
  <si>
    <t>GuV / P&amp;L</t>
  </si>
  <si>
    <t>Gewinn- und Verlustrechnung / Profit &amp; Loss Statement</t>
  </si>
  <si>
    <t>COGS</t>
  </si>
  <si>
    <t>Cost of Goods Sold = Umsatzkosten / Cost of revenue</t>
  </si>
  <si>
    <t>GP / Bruttoergebnis</t>
  </si>
  <si>
    <t>Gross Profit = Umsatz − COGS</t>
  </si>
  <si>
    <t>GM% / Bruttomarge %</t>
  </si>
  <si>
    <t>Gross Margin % = GP / Umsatz (Revenue)</t>
  </si>
  <si>
    <t>ARAP</t>
  </si>
  <si>
    <t>Aktive Rechnungsabgrenzung / Prepaid revenue (asset): 5% × Umsatz</t>
  </si>
  <si>
    <t>PRAP</t>
  </si>
  <si>
    <t>Passive Rechnungsabgrenzung / Deferred cost (liability): 3% × COGS</t>
  </si>
  <si>
    <t>Abw. / Var.</t>
  </si>
  <si>
    <t>Abweichung / Variance = Ist − Plan</t>
  </si>
  <si>
    <t>Red-Amber-Green Status: Rot &lt;−3% | Amber ±3% | Grün &gt;+3%</t>
  </si>
  <si>
    <t>WD</t>
  </si>
  <si>
    <t>Working Day / Arbeitstag (WD-3 = 3 Tage vor Abschluss)</t>
  </si>
  <si>
    <t>YoY</t>
  </si>
  <si>
    <t>Year over Year = Jahresvergleich</t>
  </si>
  <si>
    <t>GJ / FY</t>
  </si>
  <si>
    <t>Geschäftsjahr / Fiscal Year</t>
  </si>
  <si>
    <t>SCHLÜSSELFORMELN / KEY FORMULAS</t>
  </si>
  <si>
    <t>Bruttoergebnis / Gross Profit</t>
  </si>
  <si>
    <t>Formel: =umsatz_ist − COGS_Ist  |  =C{r}−D{r}</t>
  </si>
  <si>
    <t>Bruttomarge % / Gross Margin</t>
  </si>
  <si>
    <t>Formel: =gp / umsatz  |  =e{r}/c{r}  |  format: 0%</t>
  </si>
  <si>
    <t>Abweichung absolut / Var.abs</t>
  </si>
  <si>
    <t>Formel: =ist − Plan  |  =C{r}−G{r}  |  Positiv = über Plan</t>
  </si>
  <si>
    <t>Abweichung % / Var.%</t>
  </si>
  <si>
    <t>Formel: =(ist − Plan) / Plan  |  =H{r}/G{r}  |  Format: 0.0%)</t>
  </si>
  <si>
    <t>Formel: =ROUND(umsatz × $B$7, 0)  |  Rate in Annahmen-Zelle / rate in assumption cell,0)</t>
  </si>
  <si>
    <t>Formel: =ROUND(cogs × $G$7, 0)  |  Rate in Annahmen-Zelle / rate in assumption cell,0)</t>
  </si>
  <si>
    <t>Bereinigtes Ergebnis / Adj.Result</t>
  </si>
  <si>
    <t>Formel: =gp − ARAP + PRAP  |  =E{r}−F{r}+G{r}</t>
  </si>
  <si>
    <t>RAG Status</t>
  </si>
  <si>
    <t>Formel: =IF(var%&gt;=3%,"🟢",IF(var%&gt;=-3%,"🟡","🔴"))</t>
  </si>
  <si>
    <t>YoY Wachstum / YoY Growth</t>
  </si>
  <si>
    <t>Formel: =(wert_t − Wert_{t-1}) / Wert_{t-1}  |  =(C{r}−C{r-1})/C{r-1})</t>
  </si>
  <si>
    <t>Jahressumme / Annual Sum</t>
  </si>
  <si>
    <t>Formel: =SUM(monatszeilen) / =SUM(monthly rows)</t>
  </si>
  <si>
    <t>DATENQUELLEN / DATA SOURCES</t>
  </si>
  <si>
    <t>bike_sales_clean.csv</t>
  </si>
  <si>
    <t>Vorbereitete Rohdaten aus Modul 0 / Prepared raw data from Module 0</t>
  </si>
  <si>
    <t>revenue / Umsatz_Ist</t>
  </si>
  <si>
    <t>df['revenue'] — tatsächliche Verkaufserlöse pro Transaktion</t>
  </si>
  <si>
    <t>cost / COGS_Ist</t>
  </si>
  <si>
    <t>df['cost'] — tatsächliche Kosten pro Transaktion</t>
  </si>
  <si>
    <t>profit / Ergebnis_Ist</t>
  </si>
  <si>
    <t>df['profit'] = revenue − cost (berechnet in Rohdaten)</t>
  </si>
  <si>
    <t>revenue_plan / Plan</t>
  </si>
  <si>
    <t>df['revenue_plan'] — Planwerte aus Rohdaten</t>
  </si>
  <si>
    <t>fiscal_year / GJ</t>
  </si>
  <si>
    <t>df['fiscal_year'] — Geschäftsjahr (Kalender = Geschäftsjahr)</t>
  </si>
  <si>
    <t>year_month / Periode</t>
  </si>
  <si>
    <t>df['date'].dt.to_period('M') — z.B. 2015-01</t>
  </si>
  <si>
    <t>Aggregation</t>
  </si>
  <si>
    <t>df.groupby(['fiscal_year','year_month']).agg({'revenue':'sum', ...})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</si>
</sst>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%;\(0.0%\);\-"/>
    <numFmt numFmtId="166" formatCode="0.00%;\(0.00%\);\-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color rgb="FF94A3B8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i/>
      <sz val="9"/>
      <color rgb="FF64748B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8"/>
      <color rgb="FF64748B"/>
      <name val="Arial"/>
      <charset val="1"/>
    </font>
    <font>
      <b/>
      <sz val="13"/>
      <color rgb="FFFFFFFF"/>
      <name val="Arial"/>
      <charset val="1"/>
    </font>
    <font>
      <sz val="9"/>
      <color rgb="FF94A3B8"/>
      <name val="Arial"/>
      <charset val="1"/>
    </font>
    <font>
      <sz val="9"/>
      <color rgb="FF334155"/>
      <name val="Arial"/>
      <charset val="1"/>
    </font>
    <font>
      <b/>
      <sz val="9"/>
      <color rgb="FFFFFFFF"/>
      <name val="Arial"/>
      <charset val="1"/>
    </font>
    <font>
      <sz val="10"/>
      <color rgb="FF008000"/>
      <name val="Arial"/>
      <charset val="1"/>
    </font>
    <font>
      <sz val="12"/>
      <name val="Arial"/>
      <charset val="1"/>
    </font>
    <font>
      <b/>
      <sz val="12"/>
      <name val="Arial"/>
      <charset val="1"/>
    </font>
    <font>
      <b/>
      <sz val="8"/>
      <name val="Arial"/>
      <charset val="1"/>
    </font>
    <font>
      <sz val="8"/>
      <name val="Arial"/>
      <charset val="1"/>
    </font>
    <font>
      <i/>
      <sz val="9"/>
      <color rgb="FF94A3B8"/>
      <name val="Arial"/>
      <charset val="1"/>
    </font>
    <font>
      <b/>
      <sz val="11"/>
      <color rgb="FFFFFFFF"/>
      <name val="Arial"/>
      <charset val="1"/>
    </font>
    <font>
      <sz val="8"/>
      <color rgb="FF334155"/>
      <name val="Arial"/>
      <charset val="1"/>
    </font>
    <font>
      <b/>
      <sz val="9"/>
      <color rgb="FF00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E3A5F"/>
        <bgColor rgb="FF334155"/>
      </patternFill>
    </fill>
    <fill>
      <patternFill patternType="solid">
        <fgColor rgb="FFEFF6FF"/>
        <bgColor rgb="FFF1F5F9"/>
      </patternFill>
    </fill>
    <fill>
      <patternFill patternType="solid">
        <fgColor rgb="FF2563EB"/>
        <bgColor rgb="FF0066CC"/>
      </patternFill>
    </fill>
    <fill>
      <patternFill patternType="solid">
        <fgColor rgb="FFF1F5F9"/>
        <bgColor rgb="FFEFF6FF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FEF9C3"/>
        <bgColor rgb="FFFFFF99"/>
      </patternFill>
    </fill>
    <fill>
      <patternFill patternType="solid">
        <fgColor rgb="FF334155"/>
        <bgColor rgb="FF1E3A5F"/>
      </patternFill>
    </fill>
  </fills>
  <borders count="5">
    <border>
      <left/>
      <right/>
      <top/>
      <bottom/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94A3B8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1" fillId="7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17" fillId="7" borderId="2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left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12" fillId="4" borderId="2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right" vertical="center"/>
    </xf>
    <xf numFmtId="164" fontId="13" fillId="6" borderId="2" xfId="0" applyNumberFormat="1" applyFont="1" applyFill="1" applyBorder="1" applyAlignment="1">
      <alignment horizontal="right" vertical="center"/>
    </xf>
    <xf numFmtId="165" fontId="13" fillId="6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right" vertical="center"/>
    </xf>
    <xf numFmtId="165" fontId="3" fillId="8" borderId="1" xfId="0" applyNumberFormat="1" applyFont="1" applyFill="1" applyBorder="1" applyAlignment="1">
      <alignment horizontal="right" vertical="center"/>
    </xf>
    <xf numFmtId="0" fontId="15" fillId="8" borderId="1" xfId="0" applyFon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left" vertical="center" wrapText="1"/>
    </xf>
    <xf numFmtId="164" fontId="13" fillId="5" borderId="2" xfId="0" applyNumberFormat="1" applyFont="1" applyFill="1" applyBorder="1" applyAlignment="1">
      <alignment horizontal="right" vertical="center"/>
    </xf>
    <xf numFmtId="165" fontId="13" fillId="5" borderId="2" xfId="0" applyNumberFormat="1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0" fillId="8" borderId="0" xfId="0" applyFill="1"/>
    <xf numFmtId="0" fontId="3" fillId="8" borderId="0" xfId="0" applyFont="1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3" fillId="0" borderId="0" xfId="0" applyFont="1"/>
    <xf numFmtId="166" fontId="4" fillId="3" borderId="1" xfId="0" applyNumberFormat="1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vertical="center" wrapText="1"/>
    </xf>
    <xf numFmtId="0" fontId="20" fillId="6" borderId="2" xfId="0" applyFont="1" applyFill="1" applyBorder="1" applyAlignment="1">
      <alignment vertical="center" wrapText="1"/>
    </xf>
    <xf numFmtId="0" fontId="3" fillId="8" borderId="1" xfId="0" applyFont="1" applyFill="1" applyBorder="1"/>
    <xf numFmtId="0" fontId="21" fillId="5" borderId="2" xfId="0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21" fillId="6" borderId="2" xfId="0" applyFont="1" applyFill="1" applyBorder="1" applyAlignment="1">
      <alignment horizontal="left" vertical="center" wrapText="1"/>
    </xf>
    <xf numFmtId="0" fontId="6" fillId="9" borderId="0" xfId="0" applyFont="1" applyFill="1"/>
    <xf numFmtId="0" fontId="3" fillId="8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 wrapText="1"/>
    </xf>
    <xf numFmtId="0" fontId="19" fillId="4" borderId="0" xfId="0" applyFont="1" applyFill="1" applyAlignment="1">
      <alignment horizontal="left" vertical="center" indent="1"/>
    </xf>
    <xf numFmtId="0" fontId="7" fillId="5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C3"/>
      <rgbColor rgb="FFEFF6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F8FAF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03300"/>
      <rgbColor rgb="FF333300"/>
      <rgbColor rgb="FF993300"/>
      <rgbColor rgb="FF993366"/>
      <rgbColor rgb="FF333399"/>
      <rgbColor rgb="FF3341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zoomScaleNormal="100" workbookViewId="0">
      <pane ySplit="5" topLeftCell="A6" activePane="bottomLeft" state="frozen"/>
      <selection pane="bottomLeft" sqref="A1:H1"/>
    </sheetView>
  </sheetViews>
  <sheetFormatPr baseColWidth="10" defaultColWidth="8.7109375" defaultRowHeight="15" x14ac:dyDescent="0.25"/>
  <cols>
    <col min="1" max="1" width="5" customWidth="1"/>
    <col min="2" max="2" width="28" customWidth="1"/>
    <col min="3" max="3" width="42" customWidth="1"/>
    <col min="4" max="4" width="18" customWidth="1"/>
    <col min="5" max="5" width="10" customWidth="1"/>
    <col min="6" max="6" width="30" customWidth="1"/>
    <col min="7" max="7" width="12" customWidth="1"/>
    <col min="8" max="8" width="30" customWidth="1"/>
  </cols>
  <sheetData>
    <row r="1" spans="1:8" ht="30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</row>
    <row r="2" spans="1:8" ht="18" customHeight="1" x14ac:dyDescent="0.25">
      <c r="A2" s="13" t="s">
        <v>1</v>
      </c>
      <c r="B2" s="13"/>
      <c r="C2" s="13"/>
      <c r="D2" s="13"/>
      <c r="E2" s="13"/>
      <c r="F2" s="13"/>
      <c r="G2" s="13"/>
      <c r="H2" s="13"/>
    </row>
    <row r="3" spans="1:8" ht="19.5" customHeight="1" x14ac:dyDescent="0.25">
      <c r="A3" s="12" t="s">
        <v>2</v>
      </c>
      <c r="B3" s="12"/>
      <c r="C3" s="12"/>
      <c r="D3" s="15" t="s">
        <v>3</v>
      </c>
      <c r="E3" s="11" t="s">
        <v>4</v>
      </c>
      <c r="F3" s="11"/>
      <c r="G3" s="11"/>
      <c r="H3" s="11"/>
    </row>
    <row r="4" spans="1:8" ht="6" customHeight="1" x14ac:dyDescent="0.25"/>
    <row r="5" spans="1:8" ht="24" customHeight="1" x14ac:dyDescent="0.25">
      <c r="A5" s="16" t="s">
        <v>5</v>
      </c>
      <c r="B5" s="16" t="s">
        <v>6</v>
      </c>
      <c r="C5" s="16" t="s">
        <v>7</v>
      </c>
      <c r="D5" s="16" t="s">
        <v>8</v>
      </c>
      <c r="E5" s="16" t="s">
        <v>9</v>
      </c>
      <c r="F5" s="16" t="s">
        <v>10</v>
      </c>
      <c r="G5" s="16" t="s">
        <v>11</v>
      </c>
      <c r="H5" s="16" t="s">
        <v>12</v>
      </c>
    </row>
    <row r="6" spans="1:8" ht="48" customHeight="1" x14ac:dyDescent="0.25">
      <c r="A6" s="17">
        <v>1</v>
      </c>
      <c r="B6" s="18" t="s">
        <v>13</v>
      </c>
      <c r="C6" s="18" t="s">
        <v>14</v>
      </c>
      <c r="D6" s="18" t="s">
        <v>15</v>
      </c>
      <c r="E6" s="17" t="s">
        <v>16</v>
      </c>
      <c r="F6" s="18" t="s">
        <v>17</v>
      </c>
      <c r="G6" s="19" t="s">
        <v>18</v>
      </c>
      <c r="H6" s="18"/>
    </row>
    <row r="7" spans="1:8" ht="48" customHeight="1" x14ac:dyDescent="0.25">
      <c r="A7" s="20">
        <v>2</v>
      </c>
      <c r="B7" s="21" t="s">
        <v>19</v>
      </c>
      <c r="C7" s="21" t="s">
        <v>20</v>
      </c>
      <c r="D7" s="21" t="s">
        <v>15</v>
      </c>
      <c r="E7" s="20" t="s">
        <v>21</v>
      </c>
      <c r="F7" s="21" t="s">
        <v>22</v>
      </c>
      <c r="G7" s="19" t="s">
        <v>18</v>
      </c>
      <c r="H7" s="21"/>
    </row>
    <row r="8" spans="1:8" ht="48" customHeight="1" x14ac:dyDescent="0.25">
      <c r="A8" s="17">
        <v>3</v>
      </c>
      <c r="B8" s="18" t="s">
        <v>23</v>
      </c>
      <c r="C8" s="18" t="s">
        <v>24</v>
      </c>
      <c r="D8" s="18" t="s">
        <v>15</v>
      </c>
      <c r="E8" s="17" t="s">
        <v>21</v>
      </c>
      <c r="F8" s="18" t="s">
        <v>25</v>
      </c>
      <c r="G8" s="19" t="s">
        <v>18</v>
      </c>
      <c r="H8" s="18"/>
    </row>
    <row r="9" spans="1:8" ht="48" customHeight="1" x14ac:dyDescent="0.25">
      <c r="A9" s="20">
        <v>4</v>
      </c>
      <c r="B9" s="21" t="s">
        <v>26</v>
      </c>
      <c r="C9" s="21" t="s">
        <v>27</v>
      </c>
      <c r="D9" s="21" t="s">
        <v>15</v>
      </c>
      <c r="E9" s="20" t="s">
        <v>28</v>
      </c>
      <c r="F9" s="21" t="s">
        <v>29</v>
      </c>
      <c r="G9" s="19" t="s">
        <v>18</v>
      </c>
      <c r="H9" s="21"/>
    </row>
    <row r="10" spans="1:8" ht="48" customHeight="1" x14ac:dyDescent="0.25">
      <c r="A10" s="17">
        <v>5</v>
      </c>
      <c r="B10" s="18" t="s">
        <v>30</v>
      </c>
      <c r="C10" s="18" t="s">
        <v>31</v>
      </c>
      <c r="D10" s="18" t="s">
        <v>32</v>
      </c>
      <c r="E10" s="17" t="s">
        <v>28</v>
      </c>
      <c r="F10" s="18" t="s">
        <v>33</v>
      </c>
      <c r="G10" s="19" t="s">
        <v>18</v>
      </c>
      <c r="H10" s="18"/>
    </row>
    <row r="11" spans="1:8" ht="48" customHeight="1" x14ac:dyDescent="0.25">
      <c r="A11" s="20">
        <v>6</v>
      </c>
      <c r="B11" s="21" t="s">
        <v>34</v>
      </c>
      <c r="C11" s="21" t="s">
        <v>35</v>
      </c>
      <c r="D11" s="21" t="s">
        <v>32</v>
      </c>
      <c r="E11" s="20" t="s">
        <v>28</v>
      </c>
      <c r="F11" s="21" t="s">
        <v>36</v>
      </c>
      <c r="G11" s="19" t="s">
        <v>18</v>
      </c>
      <c r="H11" s="21"/>
    </row>
    <row r="12" spans="1:8" ht="48" customHeight="1" x14ac:dyDescent="0.25">
      <c r="A12" s="17">
        <v>7</v>
      </c>
      <c r="B12" s="18" t="s">
        <v>37</v>
      </c>
      <c r="C12" s="18" t="s">
        <v>38</v>
      </c>
      <c r="D12" s="18" t="s">
        <v>39</v>
      </c>
      <c r="E12" s="17" t="s">
        <v>40</v>
      </c>
      <c r="F12" s="18" t="s">
        <v>41</v>
      </c>
      <c r="G12" s="19" t="s">
        <v>18</v>
      </c>
      <c r="H12" s="18"/>
    </row>
    <row r="13" spans="1:8" ht="48" customHeight="1" x14ac:dyDescent="0.25">
      <c r="A13" s="20">
        <v>8</v>
      </c>
      <c r="B13" s="21" t="s">
        <v>42</v>
      </c>
      <c r="C13" s="21" t="s">
        <v>43</v>
      </c>
      <c r="D13" s="21" t="s">
        <v>32</v>
      </c>
      <c r="E13" s="20" t="s">
        <v>40</v>
      </c>
      <c r="F13" s="21" t="s">
        <v>44</v>
      </c>
      <c r="G13" s="19" t="s">
        <v>18</v>
      </c>
      <c r="H13" s="21"/>
    </row>
    <row r="14" spans="1:8" ht="48" customHeight="1" x14ac:dyDescent="0.25">
      <c r="A14" s="17">
        <v>9</v>
      </c>
      <c r="B14" s="18" t="s">
        <v>45</v>
      </c>
      <c r="C14" s="18" t="s">
        <v>46</v>
      </c>
      <c r="D14" s="18" t="s">
        <v>15</v>
      </c>
      <c r="E14" s="17" t="s">
        <v>47</v>
      </c>
      <c r="F14" s="18" t="s">
        <v>48</v>
      </c>
      <c r="G14" s="19" t="s">
        <v>18</v>
      </c>
      <c r="H14" s="18"/>
    </row>
    <row r="16" spans="1:8" ht="36" customHeight="1" x14ac:dyDescent="0.25">
      <c r="A16" s="10" t="s">
        <v>49</v>
      </c>
      <c r="B16" s="10"/>
      <c r="C16" s="10"/>
      <c r="D16" s="10"/>
      <c r="E16" s="10"/>
      <c r="F16" s="10"/>
      <c r="G16" s="10"/>
      <c r="H16" s="10"/>
    </row>
  </sheetData>
  <mergeCells count="5">
    <mergeCell ref="A1:H1"/>
    <mergeCell ref="A2:H2"/>
    <mergeCell ref="A3:C3"/>
    <mergeCell ref="E3:H3"/>
    <mergeCell ref="A16:H16"/>
  </mergeCells>
  <dataValidations count="1">
    <dataValidation type="list" sqref="G6:G14" xr:uid="{00000000-0002-0000-0000-000000000000}">
      <formula1>"✅ Erledigt,🔄 In Bearbeitung,⏳ Pending,❌ Offen"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showGridLines="0" tabSelected="1" zoomScaleNormal="100" workbookViewId="0">
      <pane ySplit="6" topLeftCell="A7" activePane="bottomLeft" state="frozen"/>
      <selection pane="bottomLeft" activeCell="D24" sqref="D24"/>
    </sheetView>
  </sheetViews>
  <sheetFormatPr baseColWidth="10" defaultColWidth="8.7109375" defaultRowHeight="15" x14ac:dyDescent="0.25"/>
  <cols>
    <col min="1" max="1" width="7" customWidth="1"/>
    <col min="2" max="2" width="12" customWidth="1"/>
    <col min="3" max="5" width="14" customWidth="1"/>
    <col min="6" max="6" width="10" customWidth="1"/>
    <col min="7" max="7" width="14" customWidth="1"/>
    <col min="8" max="8" width="13" customWidth="1"/>
    <col min="9" max="9" width="10" customWidth="1"/>
    <col min="10" max="10" width="6" customWidth="1"/>
    <col min="11" max="12" width="13" customWidth="1"/>
    <col min="13" max="13" width="15" customWidth="1"/>
  </cols>
  <sheetData>
    <row r="1" spans="1:13" ht="27.75" customHeight="1" x14ac:dyDescent="0.25">
      <c r="A1" s="9" t="s">
        <v>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.75" customHeight="1" x14ac:dyDescent="0.25">
      <c r="A2" s="8" t="s">
        <v>51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4" spans="1:13" ht="27.75" customHeight="1" x14ac:dyDescent="0.25">
      <c r="A4" s="7" t="s">
        <v>52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ht="15.75" customHeight="1" x14ac:dyDescent="0.25">
      <c r="A5" s="6" t="s">
        <v>53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36" customHeight="1" x14ac:dyDescent="0.25">
      <c r="A6" s="23" t="s">
        <v>54</v>
      </c>
      <c r="B6" s="23" t="s">
        <v>55</v>
      </c>
      <c r="C6" s="23" t="s">
        <v>56</v>
      </c>
      <c r="D6" s="23" t="s">
        <v>57</v>
      </c>
      <c r="E6" s="23" t="s">
        <v>58</v>
      </c>
      <c r="F6" s="23" t="s">
        <v>59</v>
      </c>
      <c r="G6" s="23" t="s">
        <v>60</v>
      </c>
      <c r="H6" s="23" t="s">
        <v>61</v>
      </c>
      <c r="I6" s="23" t="s">
        <v>62</v>
      </c>
      <c r="J6" s="23" t="s">
        <v>63</v>
      </c>
      <c r="K6" s="23" t="s">
        <v>64</v>
      </c>
      <c r="L6" s="23" t="s">
        <v>65</v>
      </c>
      <c r="M6" s="23" t="s">
        <v>66</v>
      </c>
    </row>
    <row r="7" spans="1:13" ht="18" customHeight="1" x14ac:dyDescent="0.25">
      <c r="A7" s="19">
        <v>2015</v>
      </c>
      <c r="B7" s="19" t="s">
        <v>67</v>
      </c>
      <c r="C7" s="24">
        <v>666938</v>
      </c>
      <c r="D7" s="24">
        <v>447744</v>
      </c>
      <c r="E7" s="25">
        <f t="shared" ref="E7:E19" si="0">C7-D7</f>
        <v>219194</v>
      </c>
      <c r="F7" s="26">
        <f t="shared" ref="F7:F19" si="1">IF(C7&lt;&gt;0,E7/C7,0)</f>
        <v>0.32865723650474254</v>
      </c>
      <c r="G7" s="24">
        <v>665780</v>
      </c>
      <c r="H7" s="25">
        <f t="shared" ref="H7:H19" si="2">C7-G7</f>
        <v>1158</v>
      </c>
      <c r="I7" s="26">
        <f t="shared" ref="I7:I19" si="3">IF(G7&lt;&gt;0,H7/G7,0)</f>
        <v>1.7393132866712728E-3</v>
      </c>
      <c r="J7" s="27" t="str">
        <f t="shared" ref="J7:J19" si="4">IF(I7&gt;=0.03,"🟢",IF(I7&gt;=-0.03,"🟡","🔴"))</f>
        <v>🟡</v>
      </c>
      <c r="K7" s="25">
        <f t="shared" ref="K7:K18" si="5">ROUND(C7*0.05,0)</f>
        <v>33347</v>
      </c>
      <c r="L7" s="25">
        <f t="shared" ref="L7:L18" si="6">ROUND(D7*0.03,0)</f>
        <v>13432</v>
      </c>
      <c r="M7" s="25">
        <f t="shared" ref="M7:M18" si="7">E7-K7+L7</f>
        <v>199279</v>
      </c>
    </row>
    <row r="8" spans="1:13" ht="18" customHeight="1" x14ac:dyDescent="0.25">
      <c r="A8" s="19">
        <v>2015</v>
      </c>
      <c r="B8" s="19" t="s">
        <v>68</v>
      </c>
      <c r="C8" s="24">
        <v>679246</v>
      </c>
      <c r="D8" s="24">
        <v>458635</v>
      </c>
      <c r="E8" s="25">
        <f t="shared" si="0"/>
        <v>220611</v>
      </c>
      <c r="F8" s="26">
        <f t="shared" si="1"/>
        <v>0.32478807383481095</v>
      </c>
      <c r="G8" s="24">
        <v>672878</v>
      </c>
      <c r="H8" s="25">
        <f t="shared" si="2"/>
        <v>6368</v>
      </c>
      <c r="I8" s="26">
        <f t="shared" si="3"/>
        <v>9.4638255374674164E-3</v>
      </c>
      <c r="J8" s="27" t="str">
        <f t="shared" si="4"/>
        <v>🟡</v>
      </c>
      <c r="K8" s="25">
        <f t="shared" si="5"/>
        <v>33962</v>
      </c>
      <c r="L8" s="25">
        <f t="shared" si="6"/>
        <v>13759</v>
      </c>
      <c r="M8" s="25">
        <f t="shared" si="7"/>
        <v>200408</v>
      </c>
    </row>
    <row r="9" spans="1:13" ht="18" customHeight="1" x14ac:dyDescent="0.25">
      <c r="A9" s="19">
        <v>2015</v>
      </c>
      <c r="B9" s="19" t="s">
        <v>69</v>
      </c>
      <c r="C9" s="24">
        <v>714008</v>
      </c>
      <c r="D9" s="24">
        <v>477922</v>
      </c>
      <c r="E9" s="25">
        <f t="shared" si="0"/>
        <v>236086</v>
      </c>
      <c r="F9" s="26">
        <f t="shared" si="1"/>
        <v>0.33064895631421498</v>
      </c>
      <c r="G9" s="24">
        <v>712079</v>
      </c>
      <c r="H9" s="25">
        <f t="shared" si="2"/>
        <v>1929</v>
      </c>
      <c r="I9" s="26">
        <f t="shared" si="3"/>
        <v>2.7089690891038774E-3</v>
      </c>
      <c r="J9" s="27" t="str">
        <f t="shared" si="4"/>
        <v>🟡</v>
      </c>
      <c r="K9" s="25">
        <f t="shared" si="5"/>
        <v>35700</v>
      </c>
      <c r="L9" s="25">
        <f t="shared" si="6"/>
        <v>14338</v>
      </c>
      <c r="M9" s="25">
        <f t="shared" si="7"/>
        <v>214724</v>
      </c>
    </row>
    <row r="10" spans="1:13" ht="18" customHeight="1" x14ac:dyDescent="0.25">
      <c r="A10" s="19">
        <v>2015</v>
      </c>
      <c r="B10" s="19" t="s">
        <v>70</v>
      </c>
      <c r="C10" s="24">
        <v>734608</v>
      </c>
      <c r="D10" s="24">
        <v>497020</v>
      </c>
      <c r="E10" s="25">
        <f t="shared" si="0"/>
        <v>237588</v>
      </c>
      <c r="F10" s="26">
        <f t="shared" si="1"/>
        <v>0.32342147104305968</v>
      </c>
      <c r="G10" s="24">
        <v>728736</v>
      </c>
      <c r="H10" s="25">
        <f t="shared" si="2"/>
        <v>5872</v>
      </c>
      <c r="I10" s="26">
        <f t="shared" si="3"/>
        <v>8.0577877310850574E-3</v>
      </c>
      <c r="J10" s="27" t="str">
        <f t="shared" si="4"/>
        <v>🟡</v>
      </c>
      <c r="K10" s="25">
        <f t="shared" si="5"/>
        <v>36730</v>
      </c>
      <c r="L10" s="25">
        <f t="shared" si="6"/>
        <v>14911</v>
      </c>
      <c r="M10" s="25">
        <f t="shared" si="7"/>
        <v>215769</v>
      </c>
    </row>
    <row r="11" spans="1:13" ht="18" customHeight="1" x14ac:dyDescent="0.25">
      <c r="A11" s="19">
        <v>2015</v>
      </c>
      <c r="B11" s="19" t="s">
        <v>71</v>
      </c>
      <c r="C11" s="24">
        <v>895043</v>
      </c>
      <c r="D11" s="24">
        <v>597749</v>
      </c>
      <c r="E11" s="25">
        <f t="shared" si="0"/>
        <v>297294</v>
      </c>
      <c r="F11" s="26">
        <f t="shared" si="1"/>
        <v>0.33215610870092277</v>
      </c>
      <c r="G11" s="24">
        <v>901206</v>
      </c>
      <c r="H11" s="25">
        <f t="shared" si="2"/>
        <v>-6163</v>
      </c>
      <c r="I11" s="26">
        <f t="shared" si="3"/>
        <v>-6.8386140349709166E-3</v>
      </c>
      <c r="J11" s="27" t="str">
        <f t="shared" si="4"/>
        <v>🟡</v>
      </c>
      <c r="K11" s="25">
        <f t="shared" si="5"/>
        <v>44752</v>
      </c>
      <c r="L11" s="25">
        <f t="shared" si="6"/>
        <v>17932</v>
      </c>
      <c r="M11" s="25">
        <f t="shared" si="7"/>
        <v>270474</v>
      </c>
    </row>
    <row r="12" spans="1:13" ht="18" customHeight="1" x14ac:dyDescent="0.25">
      <c r="A12" s="19">
        <v>2015</v>
      </c>
      <c r="B12" s="19" t="s">
        <v>72</v>
      </c>
      <c r="C12" s="24">
        <v>786480</v>
      </c>
      <c r="D12" s="24">
        <v>527616</v>
      </c>
      <c r="E12" s="25">
        <f t="shared" si="0"/>
        <v>258864</v>
      </c>
      <c r="F12" s="26">
        <f t="shared" si="1"/>
        <v>0.3291425083918218</v>
      </c>
      <c r="G12" s="24">
        <v>786483</v>
      </c>
      <c r="H12" s="25">
        <f t="shared" si="2"/>
        <v>-3</v>
      </c>
      <c r="I12" s="26">
        <f t="shared" si="3"/>
        <v>-3.8144498991078003E-6</v>
      </c>
      <c r="J12" s="27" t="str">
        <f t="shared" si="4"/>
        <v>🟡</v>
      </c>
      <c r="K12" s="25">
        <f t="shared" si="5"/>
        <v>39324</v>
      </c>
      <c r="L12" s="25">
        <f t="shared" si="6"/>
        <v>15828</v>
      </c>
      <c r="M12" s="25">
        <f t="shared" si="7"/>
        <v>235368</v>
      </c>
    </row>
    <row r="13" spans="1:13" ht="18" customHeight="1" x14ac:dyDescent="0.25">
      <c r="A13" s="19">
        <v>2015</v>
      </c>
      <c r="B13" s="19" t="s">
        <v>73</v>
      </c>
      <c r="C13" s="24">
        <v>1728398</v>
      </c>
      <c r="D13" s="24">
        <v>1118446</v>
      </c>
      <c r="E13" s="25">
        <f t="shared" si="0"/>
        <v>609952</v>
      </c>
      <c r="F13" s="26">
        <f t="shared" si="1"/>
        <v>0.35290020006965989</v>
      </c>
      <c r="G13" s="24">
        <v>1721640</v>
      </c>
      <c r="H13" s="25">
        <f t="shared" si="2"/>
        <v>6758</v>
      </c>
      <c r="I13" s="26">
        <f t="shared" si="3"/>
        <v>3.9253270137775608E-3</v>
      </c>
      <c r="J13" s="27" t="str">
        <f t="shared" si="4"/>
        <v>🟡</v>
      </c>
      <c r="K13" s="25">
        <f t="shared" si="5"/>
        <v>86420</v>
      </c>
      <c r="L13" s="25">
        <f t="shared" si="6"/>
        <v>33553</v>
      </c>
      <c r="M13" s="25">
        <f t="shared" si="7"/>
        <v>557085</v>
      </c>
    </row>
    <row r="14" spans="1:13" ht="18" customHeight="1" x14ac:dyDescent="0.25">
      <c r="A14" s="19">
        <v>2015</v>
      </c>
      <c r="B14" s="19" t="s">
        <v>74</v>
      </c>
      <c r="C14" s="24">
        <v>2140581</v>
      </c>
      <c r="D14" s="24">
        <v>1264046</v>
      </c>
      <c r="E14" s="25">
        <f t="shared" si="0"/>
        <v>876535</v>
      </c>
      <c r="F14" s="26">
        <f t="shared" si="1"/>
        <v>0.40948462123133861</v>
      </c>
      <c r="G14" s="24">
        <v>2139961</v>
      </c>
      <c r="H14" s="25">
        <f t="shared" si="2"/>
        <v>620</v>
      </c>
      <c r="I14" s="26">
        <f t="shared" si="3"/>
        <v>2.8972490620156159E-4</v>
      </c>
      <c r="J14" s="27" t="str">
        <f t="shared" si="4"/>
        <v>🟡</v>
      </c>
      <c r="K14" s="25">
        <f t="shared" si="5"/>
        <v>107029</v>
      </c>
      <c r="L14" s="25">
        <f t="shared" si="6"/>
        <v>37921</v>
      </c>
      <c r="M14" s="25">
        <f t="shared" si="7"/>
        <v>807427</v>
      </c>
    </row>
    <row r="15" spans="1:13" ht="18" customHeight="1" x14ac:dyDescent="0.25">
      <c r="A15" s="19">
        <v>2015</v>
      </c>
      <c r="B15" s="19" t="s">
        <v>75</v>
      </c>
      <c r="C15" s="24">
        <v>2465172</v>
      </c>
      <c r="D15" s="24">
        <v>1478781</v>
      </c>
      <c r="E15" s="25">
        <f t="shared" si="0"/>
        <v>986391</v>
      </c>
      <c r="F15" s="26">
        <f t="shared" si="1"/>
        <v>0.40013070081925317</v>
      </c>
      <c r="G15" s="24">
        <v>2459901</v>
      </c>
      <c r="H15" s="25">
        <f t="shared" si="2"/>
        <v>5271</v>
      </c>
      <c r="I15" s="26">
        <f t="shared" si="3"/>
        <v>2.1427691602223017E-3</v>
      </c>
      <c r="J15" s="27" t="str">
        <f t="shared" si="4"/>
        <v>🟡</v>
      </c>
      <c r="K15" s="25">
        <f t="shared" si="5"/>
        <v>123259</v>
      </c>
      <c r="L15" s="25">
        <f t="shared" si="6"/>
        <v>44363</v>
      </c>
      <c r="M15" s="25">
        <f t="shared" si="7"/>
        <v>907495</v>
      </c>
    </row>
    <row r="16" spans="1:13" ht="18" customHeight="1" x14ac:dyDescent="0.25">
      <c r="A16" s="19">
        <v>2015</v>
      </c>
      <c r="B16" s="19" t="s">
        <v>76</v>
      </c>
      <c r="C16" s="24">
        <v>2529084</v>
      </c>
      <c r="D16" s="24">
        <v>1528465</v>
      </c>
      <c r="E16" s="25">
        <f t="shared" si="0"/>
        <v>1000619</v>
      </c>
      <c r="F16" s="26">
        <f t="shared" si="1"/>
        <v>0.39564482634819564</v>
      </c>
      <c r="G16" s="24">
        <v>2538826</v>
      </c>
      <c r="H16" s="25">
        <f t="shared" si="2"/>
        <v>-9742</v>
      </c>
      <c r="I16" s="26">
        <f t="shared" si="3"/>
        <v>-3.8372066459064148E-3</v>
      </c>
      <c r="J16" s="27" t="str">
        <f t="shared" si="4"/>
        <v>🟡</v>
      </c>
      <c r="K16" s="25">
        <f t="shared" si="5"/>
        <v>126454</v>
      </c>
      <c r="L16" s="25">
        <f t="shared" si="6"/>
        <v>45854</v>
      </c>
      <c r="M16" s="25">
        <f t="shared" si="7"/>
        <v>920019</v>
      </c>
    </row>
    <row r="17" spans="1:13" ht="18" customHeight="1" x14ac:dyDescent="0.25">
      <c r="A17" s="19">
        <v>2015</v>
      </c>
      <c r="B17" s="19" t="s">
        <v>77</v>
      </c>
      <c r="C17" s="24">
        <v>2836222</v>
      </c>
      <c r="D17" s="24">
        <v>1730335</v>
      </c>
      <c r="E17" s="25">
        <f t="shared" si="0"/>
        <v>1105887</v>
      </c>
      <c r="F17" s="26">
        <f t="shared" si="1"/>
        <v>0.38991552847414623</v>
      </c>
      <c r="G17" s="24">
        <v>2835230</v>
      </c>
      <c r="H17" s="25">
        <f t="shared" si="2"/>
        <v>992</v>
      </c>
      <c r="I17" s="26">
        <f t="shared" si="3"/>
        <v>3.4988343097385399E-4</v>
      </c>
      <c r="J17" s="27" t="str">
        <f t="shared" si="4"/>
        <v>🟡</v>
      </c>
      <c r="K17" s="25">
        <f t="shared" si="5"/>
        <v>141811</v>
      </c>
      <c r="L17" s="25">
        <f t="shared" si="6"/>
        <v>51910</v>
      </c>
      <c r="M17" s="25">
        <f t="shared" si="7"/>
        <v>1015986</v>
      </c>
    </row>
    <row r="18" spans="1:13" ht="18" customHeight="1" x14ac:dyDescent="0.25">
      <c r="A18" s="19">
        <v>2015</v>
      </c>
      <c r="B18" s="19" t="s">
        <v>3</v>
      </c>
      <c r="C18" s="24">
        <v>3848211</v>
      </c>
      <c r="D18" s="24">
        <v>2368669</v>
      </c>
      <c r="E18" s="25">
        <f t="shared" si="0"/>
        <v>1479542</v>
      </c>
      <c r="F18" s="26">
        <f t="shared" si="1"/>
        <v>0.38447527955197885</v>
      </c>
      <c r="G18" s="24">
        <v>3849604</v>
      </c>
      <c r="H18" s="25">
        <f t="shared" si="2"/>
        <v>-1393</v>
      </c>
      <c r="I18" s="26">
        <f t="shared" si="3"/>
        <v>-3.6185540123087986E-4</v>
      </c>
      <c r="J18" s="27" t="str">
        <f t="shared" si="4"/>
        <v>🟡</v>
      </c>
      <c r="K18" s="25">
        <f t="shared" si="5"/>
        <v>192411</v>
      </c>
      <c r="L18" s="25">
        <f t="shared" si="6"/>
        <v>71060</v>
      </c>
      <c r="M18" s="25">
        <f t="shared" si="7"/>
        <v>1358191</v>
      </c>
    </row>
    <row r="19" spans="1:13" ht="21.75" customHeight="1" x14ac:dyDescent="0.25">
      <c r="A19" s="5" t="s">
        <v>78</v>
      </c>
      <c r="B19" s="5"/>
      <c r="C19" s="28">
        <f>SUM(C7:C18)</f>
        <v>20023991</v>
      </c>
      <c r="D19" s="28">
        <f>SUM(D7:D18)</f>
        <v>12495428</v>
      </c>
      <c r="E19" s="28">
        <f t="shared" si="0"/>
        <v>7528563</v>
      </c>
      <c r="F19" s="29">
        <f t="shared" si="1"/>
        <v>0.37597714661377946</v>
      </c>
      <c r="G19" s="28">
        <f>SUM(G7:G18)</f>
        <v>20012324</v>
      </c>
      <c r="H19" s="28">
        <f t="shared" si="2"/>
        <v>11667</v>
      </c>
      <c r="I19" s="29">
        <f t="shared" si="3"/>
        <v>5.8299076109301449E-4</v>
      </c>
      <c r="J19" s="30" t="str">
        <f t="shared" si="4"/>
        <v>🟡</v>
      </c>
      <c r="K19" s="28">
        <f>SUM(K7:K18)</f>
        <v>1001199</v>
      </c>
      <c r="L19" s="28">
        <f>SUM(L7:L18)</f>
        <v>374861</v>
      </c>
      <c r="M19" s="28">
        <f>SUM(M7:M18)</f>
        <v>6902225</v>
      </c>
    </row>
    <row r="21" spans="1:13" ht="30" customHeight="1" x14ac:dyDescent="0.25">
      <c r="A21" s="22" t="s">
        <v>79</v>
      </c>
    </row>
  </sheetData>
  <mergeCells count="5">
    <mergeCell ref="A1:M1"/>
    <mergeCell ref="A2:M2"/>
    <mergeCell ref="A4:M4"/>
    <mergeCell ref="A5:M5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zoomScaleNormal="100" workbookViewId="0">
      <selection activeCell="D10" sqref="D10"/>
    </sheetView>
  </sheetViews>
  <sheetFormatPr baseColWidth="10" defaultColWidth="8.7109375" defaultRowHeight="15" x14ac:dyDescent="0.25"/>
  <cols>
    <col min="1" max="1" width="16.7109375" bestFit="1" customWidth="1"/>
    <col min="2" max="11" width="17.85546875" customWidth="1"/>
  </cols>
  <sheetData>
    <row r="1" spans="1:11" ht="16.5" x14ac:dyDescent="0.25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x14ac:dyDescent="0.25">
      <c r="A2" s="8" t="s">
        <v>81</v>
      </c>
      <c r="B2" s="8"/>
      <c r="C2" s="8"/>
      <c r="D2" s="8"/>
      <c r="E2" s="8"/>
      <c r="F2" s="8"/>
      <c r="G2" s="8"/>
      <c r="H2" s="8"/>
      <c r="I2" s="8"/>
      <c r="J2" s="8"/>
      <c r="K2" s="8"/>
    </row>
    <row r="4" spans="1:11" x14ac:dyDescent="0.25">
      <c r="A4" s="4" t="s">
        <v>82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22.5" x14ac:dyDescent="0.25">
      <c r="A5" s="31" t="s">
        <v>83</v>
      </c>
      <c r="B5" s="3" t="s">
        <v>84</v>
      </c>
      <c r="C5" s="3"/>
      <c r="D5" s="31" t="s">
        <v>85</v>
      </c>
      <c r="E5" s="3" t="s">
        <v>86</v>
      </c>
      <c r="F5" s="3"/>
      <c r="G5" s="31" t="s">
        <v>87</v>
      </c>
      <c r="H5" s="3" t="s">
        <v>88</v>
      </c>
      <c r="I5" s="3"/>
    </row>
    <row r="6" spans="1:11" ht="22.5" x14ac:dyDescent="0.25">
      <c r="A6" s="31" t="s">
        <v>89</v>
      </c>
      <c r="B6" s="3" t="s">
        <v>90</v>
      </c>
      <c r="C6" s="3"/>
      <c r="D6" s="31" t="s">
        <v>91</v>
      </c>
      <c r="E6" s="3" t="s">
        <v>92</v>
      </c>
      <c r="F6" s="3"/>
      <c r="G6" s="31" t="s">
        <v>93</v>
      </c>
      <c r="H6" s="3" t="s">
        <v>94</v>
      </c>
      <c r="I6" s="3"/>
    </row>
    <row r="7" spans="1:11" ht="24" x14ac:dyDescent="0.25">
      <c r="A7" s="23" t="s">
        <v>5</v>
      </c>
      <c r="B7" s="23" t="s">
        <v>54</v>
      </c>
      <c r="C7" s="23" t="s">
        <v>95</v>
      </c>
      <c r="D7" s="23" t="s">
        <v>96</v>
      </c>
      <c r="E7" s="23" t="s">
        <v>97</v>
      </c>
      <c r="F7" s="23" t="s">
        <v>59</v>
      </c>
      <c r="G7" s="23" t="s">
        <v>60</v>
      </c>
      <c r="H7" s="23" t="s">
        <v>98</v>
      </c>
      <c r="I7" s="23" t="s">
        <v>99</v>
      </c>
      <c r="J7" s="23" t="s">
        <v>100</v>
      </c>
      <c r="K7" s="23" t="s">
        <v>101</v>
      </c>
    </row>
    <row r="8" spans="1:11" x14ac:dyDescent="0.25">
      <c r="A8" s="19">
        <v>1</v>
      </c>
      <c r="B8" s="19">
        <v>2011</v>
      </c>
      <c r="C8" s="24">
        <v>8964888</v>
      </c>
      <c r="D8" s="24">
        <v>6083587</v>
      </c>
      <c r="E8" s="32">
        <f t="shared" ref="E8:E14" si="0">C8-D8</f>
        <v>2881301</v>
      </c>
      <c r="F8" s="33">
        <f t="shared" ref="F8:F14" si="1">IF(C8&lt;&gt;0,E8/C8,0)</f>
        <v>0.32139843799498669</v>
      </c>
      <c r="G8" s="24">
        <v>8985125</v>
      </c>
      <c r="H8" s="32">
        <f t="shared" ref="H8:H14" si="2">C8-G8</f>
        <v>-20237</v>
      </c>
      <c r="I8" s="33">
        <f t="shared" ref="I8:I14" si="3">IF(G8&lt;&gt;0,H8/G8,0)</f>
        <v>-2.2522780707001852E-3</v>
      </c>
      <c r="J8" s="34" t="s">
        <v>102</v>
      </c>
      <c r="K8" s="34" t="s">
        <v>102</v>
      </c>
    </row>
    <row r="9" spans="1:11" x14ac:dyDescent="0.25">
      <c r="A9" s="19">
        <v>2</v>
      </c>
      <c r="B9" s="19">
        <v>2012</v>
      </c>
      <c r="C9" s="24">
        <v>9175983</v>
      </c>
      <c r="D9" s="24">
        <v>6223990</v>
      </c>
      <c r="E9" s="25">
        <f t="shared" si="0"/>
        <v>2951993</v>
      </c>
      <c r="F9" s="26">
        <f t="shared" si="1"/>
        <v>0.32170863873658007</v>
      </c>
      <c r="G9" s="24">
        <v>9184327</v>
      </c>
      <c r="H9" s="25">
        <f t="shared" si="2"/>
        <v>-8344</v>
      </c>
      <c r="I9" s="26">
        <f t="shared" si="3"/>
        <v>-9.0850423770843527E-4</v>
      </c>
      <c r="J9" s="26">
        <f>IF(C8&lt;&gt;0,(C9-C8)/C8,0)</f>
        <v>2.3546864166066547E-2</v>
      </c>
      <c r="K9" s="26">
        <f>IF(E8&lt;&gt;0,(E9-E8)/E8,0)</f>
        <v>2.4534750100735744E-2</v>
      </c>
    </row>
    <row r="10" spans="1:11" x14ac:dyDescent="0.25">
      <c r="A10" s="19">
        <v>3</v>
      </c>
      <c r="B10" s="19">
        <v>2013</v>
      </c>
      <c r="C10" s="24">
        <v>15240037</v>
      </c>
      <c r="D10" s="24">
        <v>9280829</v>
      </c>
      <c r="E10" s="32">
        <f t="shared" si="0"/>
        <v>5959208</v>
      </c>
      <c r="F10" s="33">
        <f t="shared" si="1"/>
        <v>0.39102319764709231</v>
      </c>
      <c r="G10" s="24">
        <v>15249299</v>
      </c>
      <c r="H10" s="32">
        <f t="shared" si="2"/>
        <v>-9262</v>
      </c>
      <c r="I10" s="33">
        <f t="shared" si="3"/>
        <v>-6.0737218150158905E-4</v>
      </c>
      <c r="J10" s="33">
        <f>IF(C9&lt;&gt;0,(C10-C9)/C9,0)</f>
        <v>0.66086151205816313</v>
      </c>
      <c r="K10" s="33">
        <f>IF(E9&lt;&gt;0,(E10-E9)/E9,0)</f>
        <v>1.0187066839250636</v>
      </c>
    </row>
    <row r="11" spans="1:11" x14ac:dyDescent="0.25">
      <c r="A11" s="19">
        <v>4</v>
      </c>
      <c r="B11" s="19">
        <v>2014</v>
      </c>
      <c r="C11" s="24">
        <v>14152724</v>
      </c>
      <c r="D11" s="24">
        <v>8288637</v>
      </c>
      <c r="E11" s="25">
        <f t="shared" si="0"/>
        <v>5864087</v>
      </c>
      <c r="F11" s="26">
        <f t="shared" si="1"/>
        <v>0.41434334478648777</v>
      </c>
      <c r="G11" s="24">
        <v>14160768</v>
      </c>
      <c r="H11" s="25">
        <f t="shared" si="2"/>
        <v>-8044</v>
      </c>
      <c r="I11" s="26">
        <f t="shared" si="3"/>
        <v>-5.6804828664659994E-4</v>
      </c>
      <c r="J11" s="26">
        <f>IF(C10&lt;&gt;0,(C11-C10)/C10,0)</f>
        <v>-7.1345824160400667E-2</v>
      </c>
      <c r="K11" s="26">
        <f>IF(E10&lt;&gt;0,(E11-E10)/E10,0)</f>
        <v>-1.5962020456409643E-2</v>
      </c>
    </row>
    <row r="12" spans="1:11" x14ac:dyDescent="0.25">
      <c r="A12" s="19">
        <v>5</v>
      </c>
      <c r="B12" s="19">
        <v>2015</v>
      </c>
      <c r="C12" s="24">
        <v>20023991</v>
      </c>
      <c r="D12" s="24">
        <v>12495428</v>
      </c>
      <c r="E12" s="32">
        <f t="shared" si="0"/>
        <v>7528563</v>
      </c>
      <c r="F12" s="33">
        <f t="shared" si="1"/>
        <v>0.37597714661377946</v>
      </c>
      <c r="G12" s="24">
        <v>20012324</v>
      </c>
      <c r="H12" s="32">
        <f t="shared" si="2"/>
        <v>11667</v>
      </c>
      <c r="I12" s="33">
        <f t="shared" si="3"/>
        <v>5.8299076109301449E-4</v>
      </c>
      <c r="J12" s="33">
        <f>IF(C11&lt;&gt;0,(C12-C11)/C11,0)</f>
        <v>0.41485066761706085</v>
      </c>
      <c r="K12" s="33">
        <f>IF(E11&lt;&gt;0,(E12-E11)/E11,0)</f>
        <v>0.28384230997937104</v>
      </c>
    </row>
    <row r="13" spans="1:11" x14ac:dyDescent="0.25">
      <c r="A13" s="19">
        <v>6</v>
      </c>
      <c r="B13" s="19">
        <v>2016</v>
      </c>
      <c r="C13" s="24">
        <v>17713385</v>
      </c>
      <c r="D13" s="24">
        <v>10677437</v>
      </c>
      <c r="E13" s="25">
        <f t="shared" si="0"/>
        <v>7035948</v>
      </c>
      <c r="F13" s="26">
        <f t="shared" si="1"/>
        <v>0.39721080979157852</v>
      </c>
      <c r="G13" s="24">
        <v>17724314</v>
      </c>
      <c r="H13" s="25">
        <f t="shared" si="2"/>
        <v>-10929</v>
      </c>
      <c r="I13" s="26">
        <f t="shared" si="3"/>
        <v>-6.166106061989197E-4</v>
      </c>
      <c r="J13" s="26">
        <f>IF(C12&lt;&gt;0,(C13-C12)/C12,0)</f>
        <v>-0.11539188166834474</v>
      </c>
      <c r="K13" s="26">
        <f>IF(E12&lt;&gt;0,(E13-E12)/E12,0)</f>
        <v>-6.5432805702761609E-2</v>
      </c>
    </row>
    <row r="14" spans="1:11" x14ac:dyDescent="0.25">
      <c r="A14" s="35"/>
      <c r="B14" s="36" t="s">
        <v>103</v>
      </c>
      <c r="C14" s="28">
        <f>SUM(C8:C13)</f>
        <v>85271008</v>
      </c>
      <c r="D14" s="28">
        <f>SUM(D8:D13)</f>
        <v>53049908</v>
      </c>
      <c r="E14" s="28">
        <f t="shared" si="0"/>
        <v>32221100</v>
      </c>
      <c r="F14" s="29">
        <f t="shared" si="1"/>
        <v>0.37786700023529685</v>
      </c>
      <c r="G14" s="28">
        <f>SUM(G8:G13)</f>
        <v>85316157</v>
      </c>
      <c r="H14" s="28">
        <f t="shared" si="2"/>
        <v>-45149</v>
      </c>
      <c r="I14" s="29">
        <f t="shared" si="3"/>
        <v>-5.2919636312263808E-4</v>
      </c>
      <c r="J14" s="37" t="s">
        <v>104</v>
      </c>
      <c r="K14" s="37" t="s">
        <v>104</v>
      </c>
    </row>
  </sheetData>
  <mergeCells count="9">
    <mergeCell ref="B6:C6"/>
    <mergeCell ref="E6:F6"/>
    <mergeCell ref="H6:I6"/>
    <mergeCell ref="A1:K1"/>
    <mergeCell ref="A2:K2"/>
    <mergeCell ref="A4:K4"/>
    <mergeCell ref="B5:C5"/>
    <mergeCell ref="E5:F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0" width="21.42578125" customWidth="1"/>
  </cols>
  <sheetData>
    <row r="1" spans="1:10" ht="16.5" x14ac:dyDescent="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3" spans="1:10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1" t="s">
        <v>107</v>
      </c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7" t="s">
        <v>108</v>
      </c>
      <c r="B5" s="7"/>
      <c r="C5" s="7"/>
      <c r="D5" s="7"/>
      <c r="E5" s="7"/>
      <c r="F5" s="7"/>
      <c r="G5" s="7"/>
      <c r="H5" s="7"/>
      <c r="I5" s="7"/>
      <c r="J5" s="7"/>
    </row>
    <row r="6" spans="1:10" x14ac:dyDescent="0.25">
      <c r="A6" s="47" t="s">
        <v>109</v>
      </c>
      <c r="B6" s="47"/>
      <c r="C6" s="47"/>
      <c r="D6" s="47"/>
      <c r="E6" s="47"/>
      <c r="F6" s="47"/>
      <c r="G6" s="47"/>
      <c r="H6" s="47"/>
      <c r="I6" s="47"/>
      <c r="J6" s="47"/>
    </row>
    <row r="7" spans="1:10" ht="35.25" customHeight="1" x14ac:dyDescent="0.25">
      <c r="A7" s="38" t="s">
        <v>110</v>
      </c>
      <c r="B7" s="39">
        <v>0.05</v>
      </c>
      <c r="C7" s="11" t="s">
        <v>111</v>
      </c>
      <c r="D7" s="11"/>
      <c r="E7" s="11"/>
      <c r="F7" s="38" t="s">
        <v>112</v>
      </c>
      <c r="G7" s="39">
        <v>0.03</v>
      </c>
      <c r="H7" s="11" t="s">
        <v>113</v>
      </c>
      <c r="I7" s="11"/>
      <c r="J7" s="11"/>
    </row>
    <row r="8" spans="1:10" ht="24" x14ac:dyDescent="0.25">
      <c r="A8" s="23" t="s">
        <v>5</v>
      </c>
      <c r="B8" s="23" t="s">
        <v>114</v>
      </c>
      <c r="C8" s="23" t="s">
        <v>56</v>
      </c>
      <c r="D8" s="23" t="s">
        <v>57</v>
      </c>
      <c r="E8" s="23" t="s">
        <v>115</v>
      </c>
      <c r="F8" s="23" t="s">
        <v>116</v>
      </c>
      <c r="G8" s="23" t="s">
        <v>117</v>
      </c>
      <c r="H8" s="23" t="s">
        <v>118</v>
      </c>
      <c r="I8" s="23" t="s">
        <v>119</v>
      </c>
      <c r="J8" s="23" t="s">
        <v>120</v>
      </c>
    </row>
    <row r="9" spans="1:10" ht="45" x14ac:dyDescent="0.25">
      <c r="A9" s="19">
        <v>1</v>
      </c>
      <c r="B9" s="19" t="s">
        <v>67</v>
      </c>
      <c r="C9" s="24">
        <v>666938</v>
      </c>
      <c r="D9" s="24">
        <v>447744</v>
      </c>
      <c r="E9" s="32">
        <f t="shared" ref="E9:E21" si="0">C9-D9</f>
        <v>219194</v>
      </c>
      <c r="F9" s="32">
        <f t="shared" ref="F9:F20" si="1">ROUND(C9*$B$7,0)</f>
        <v>33347</v>
      </c>
      <c r="G9" s="32">
        <f t="shared" ref="G9:G20" si="2">ROUND(D9*$G$7,0)</f>
        <v>13432</v>
      </c>
      <c r="H9" s="32">
        <f t="shared" ref="H9:H20" si="3">E9-F9+G9</f>
        <v>199279</v>
      </c>
      <c r="I9" s="40" t="s">
        <v>121</v>
      </c>
      <c r="J9" s="40" t="s">
        <v>122</v>
      </c>
    </row>
    <row r="10" spans="1:10" ht="45" x14ac:dyDescent="0.25">
      <c r="A10" s="19">
        <v>2</v>
      </c>
      <c r="B10" s="19" t="s">
        <v>68</v>
      </c>
      <c r="C10" s="24">
        <v>679246</v>
      </c>
      <c r="D10" s="24">
        <v>458635</v>
      </c>
      <c r="E10" s="25">
        <f t="shared" si="0"/>
        <v>220611</v>
      </c>
      <c r="F10" s="25">
        <f t="shared" si="1"/>
        <v>33962</v>
      </c>
      <c r="G10" s="25">
        <f t="shared" si="2"/>
        <v>13759</v>
      </c>
      <c r="H10" s="25">
        <f t="shared" si="3"/>
        <v>200408</v>
      </c>
      <c r="I10" s="41" t="s">
        <v>123</v>
      </c>
      <c r="J10" s="41" t="s">
        <v>124</v>
      </c>
    </row>
    <row r="11" spans="1:10" ht="45" x14ac:dyDescent="0.25">
      <c r="A11" s="19">
        <v>3</v>
      </c>
      <c r="B11" s="19" t="s">
        <v>69</v>
      </c>
      <c r="C11" s="24">
        <v>714008</v>
      </c>
      <c r="D11" s="24">
        <v>477922</v>
      </c>
      <c r="E11" s="32">
        <f t="shared" si="0"/>
        <v>236086</v>
      </c>
      <c r="F11" s="32">
        <f t="shared" si="1"/>
        <v>35700</v>
      </c>
      <c r="G11" s="32">
        <f t="shared" si="2"/>
        <v>14338</v>
      </c>
      <c r="H11" s="32">
        <f t="shared" si="3"/>
        <v>214724</v>
      </c>
      <c r="I11" s="40" t="s">
        <v>125</v>
      </c>
      <c r="J11" s="40" t="s">
        <v>126</v>
      </c>
    </row>
    <row r="12" spans="1:10" ht="45" x14ac:dyDescent="0.25">
      <c r="A12" s="19">
        <v>4</v>
      </c>
      <c r="B12" s="19" t="s">
        <v>70</v>
      </c>
      <c r="C12" s="24">
        <v>734608</v>
      </c>
      <c r="D12" s="24">
        <v>497020</v>
      </c>
      <c r="E12" s="25">
        <f t="shared" si="0"/>
        <v>237588</v>
      </c>
      <c r="F12" s="25">
        <f t="shared" si="1"/>
        <v>36730</v>
      </c>
      <c r="G12" s="25">
        <f t="shared" si="2"/>
        <v>14911</v>
      </c>
      <c r="H12" s="25">
        <f t="shared" si="3"/>
        <v>215769</v>
      </c>
      <c r="I12" s="41" t="s">
        <v>127</v>
      </c>
      <c r="J12" s="41" t="s">
        <v>128</v>
      </c>
    </row>
    <row r="13" spans="1:10" ht="45" x14ac:dyDescent="0.25">
      <c r="A13" s="19">
        <v>5</v>
      </c>
      <c r="B13" s="19" t="s">
        <v>71</v>
      </c>
      <c r="C13" s="24">
        <v>895043</v>
      </c>
      <c r="D13" s="24">
        <v>597749</v>
      </c>
      <c r="E13" s="32">
        <f t="shared" si="0"/>
        <v>297294</v>
      </c>
      <c r="F13" s="32">
        <f t="shared" si="1"/>
        <v>44752</v>
      </c>
      <c r="G13" s="32">
        <f t="shared" si="2"/>
        <v>17932</v>
      </c>
      <c r="H13" s="32">
        <f t="shared" si="3"/>
        <v>270474</v>
      </c>
      <c r="I13" s="40" t="s">
        <v>129</v>
      </c>
      <c r="J13" s="40" t="s">
        <v>130</v>
      </c>
    </row>
    <row r="14" spans="1:10" ht="45" x14ac:dyDescent="0.25">
      <c r="A14" s="19">
        <v>6</v>
      </c>
      <c r="B14" s="19" t="s">
        <v>72</v>
      </c>
      <c r="C14" s="24">
        <v>786480</v>
      </c>
      <c r="D14" s="24">
        <v>527616</v>
      </c>
      <c r="E14" s="25">
        <f t="shared" si="0"/>
        <v>258864</v>
      </c>
      <c r="F14" s="25">
        <f t="shared" si="1"/>
        <v>39324</v>
      </c>
      <c r="G14" s="25">
        <f t="shared" si="2"/>
        <v>15828</v>
      </c>
      <c r="H14" s="25">
        <f t="shared" si="3"/>
        <v>235368</v>
      </c>
      <c r="I14" s="41" t="s">
        <v>131</v>
      </c>
      <c r="J14" s="41" t="s">
        <v>132</v>
      </c>
    </row>
    <row r="15" spans="1:10" ht="56.25" x14ac:dyDescent="0.25">
      <c r="A15" s="19">
        <v>7</v>
      </c>
      <c r="B15" s="19" t="s">
        <v>73</v>
      </c>
      <c r="C15" s="24">
        <v>1728398</v>
      </c>
      <c r="D15" s="24">
        <v>1118446</v>
      </c>
      <c r="E15" s="32">
        <f t="shared" si="0"/>
        <v>609952</v>
      </c>
      <c r="F15" s="32">
        <f t="shared" si="1"/>
        <v>86420</v>
      </c>
      <c r="G15" s="32">
        <f t="shared" si="2"/>
        <v>33553</v>
      </c>
      <c r="H15" s="32">
        <f t="shared" si="3"/>
        <v>557085</v>
      </c>
      <c r="I15" s="40" t="s">
        <v>133</v>
      </c>
      <c r="J15" s="40" t="s">
        <v>134</v>
      </c>
    </row>
    <row r="16" spans="1:10" ht="56.25" x14ac:dyDescent="0.25">
      <c r="A16" s="19">
        <v>8</v>
      </c>
      <c r="B16" s="19" t="s">
        <v>74</v>
      </c>
      <c r="C16" s="24">
        <v>2140581</v>
      </c>
      <c r="D16" s="24">
        <v>1264046</v>
      </c>
      <c r="E16" s="25">
        <f t="shared" si="0"/>
        <v>876535</v>
      </c>
      <c r="F16" s="25">
        <f t="shared" si="1"/>
        <v>107029</v>
      </c>
      <c r="G16" s="25">
        <f t="shared" si="2"/>
        <v>37921</v>
      </c>
      <c r="H16" s="25">
        <f t="shared" si="3"/>
        <v>807427</v>
      </c>
      <c r="I16" s="41" t="s">
        <v>135</v>
      </c>
      <c r="J16" s="41" t="s">
        <v>136</v>
      </c>
    </row>
    <row r="17" spans="1:10" ht="56.25" x14ac:dyDescent="0.25">
      <c r="A17" s="19">
        <v>9</v>
      </c>
      <c r="B17" s="19" t="s">
        <v>75</v>
      </c>
      <c r="C17" s="24">
        <v>2465172</v>
      </c>
      <c r="D17" s="24">
        <v>1478781</v>
      </c>
      <c r="E17" s="32">
        <f t="shared" si="0"/>
        <v>986391</v>
      </c>
      <c r="F17" s="32">
        <f t="shared" si="1"/>
        <v>123259</v>
      </c>
      <c r="G17" s="32">
        <f t="shared" si="2"/>
        <v>44363</v>
      </c>
      <c r="H17" s="32">
        <f t="shared" si="3"/>
        <v>907495</v>
      </c>
      <c r="I17" s="40" t="s">
        <v>137</v>
      </c>
      <c r="J17" s="40" t="s">
        <v>138</v>
      </c>
    </row>
    <row r="18" spans="1:10" ht="56.25" x14ac:dyDescent="0.25">
      <c r="A18" s="19">
        <v>10</v>
      </c>
      <c r="B18" s="19" t="s">
        <v>76</v>
      </c>
      <c r="C18" s="24">
        <v>2529084</v>
      </c>
      <c r="D18" s="24">
        <v>1528465</v>
      </c>
      <c r="E18" s="25">
        <f t="shared" si="0"/>
        <v>1000619</v>
      </c>
      <c r="F18" s="25">
        <f t="shared" si="1"/>
        <v>126454</v>
      </c>
      <c r="G18" s="25">
        <f t="shared" si="2"/>
        <v>45854</v>
      </c>
      <c r="H18" s="25">
        <f t="shared" si="3"/>
        <v>920019</v>
      </c>
      <c r="I18" s="41" t="s">
        <v>139</v>
      </c>
      <c r="J18" s="41" t="s">
        <v>140</v>
      </c>
    </row>
    <row r="19" spans="1:10" ht="56.25" x14ac:dyDescent="0.25">
      <c r="A19" s="19">
        <v>11</v>
      </c>
      <c r="B19" s="19" t="s">
        <v>77</v>
      </c>
      <c r="C19" s="24">
        <v>2836222</v>
      </c>
      <c r="D19" s="24">
        <v>1730335</v>
      </c>
      <c r="E19" s="32">
        <f t="shared" si="0"/>
        <v>1105887</v>
      </c>
      <c r="F19" s="32">
        <f t="shared" si="1"/>
        <v>141811</v>
      </c>
      <c r="G19" s="32">
        <f t="shared" si="2"/>
        <v>51910</v>
      </c>
      <c r="H19" s="32">
        <f t="shared" si="3"/>
        <v>1015986</v>
      </c>
      <c r="I19" s="40" t="s">
        <v>141</v>
      </c>
      <c r="J19" s="40" t="s">
        <v>142</v>
      </c>
    </row>
    <row r="20" spans="1:10" ht="56.25" x14ac:dyDescent="0.25">
      <c r="A20" s="19">
        <v>12</v>
      </c>
      <c r="B20" s="19" t="s">
        <v>3</v>
      </c>
      <c r="C20" s="24">
        <v>3848211</v>
      </c>
      <c r="D20" s="24">
        <v>2368669</v>
      </c>
      <c r="E20" s="25">
        <f t="shared" si="0"/>
        <v>1479542</v>
      </c>
      <c r="F20" s="25">
        <f t="shared" si="1"/>
        <v>192411</v>
      </c>
      <c r="G20" s="25">
        <f t="shared" si="2"/>
        <v>71060</v>
      </c>
      <c r="H20" s="25">
        <f t="shared" si="3"/>
        <v>1358191</v>
      </c>
      <c r="I20" s="41" t="s">
        <v>143</v>
      </c>
      <c r="J20" s="41" t="s">
        <v>144</v>
      </c>
    </row>
    <row r="21" spans="1:10" x14ac:dyDescent="0.25">
      <c r="A21" s="48" t="s">
        <v>145</v>
      </c>
      <c r="B21" s="48"/>
      <c r="C21" s="28">
        <f>SUM(C9:C20)</f>
        <v>20023991</v>
      </c>
      <c r="D21" s="28">
        <f>SUM(D9:D20)</f>
        <v>12495428</v>
      </c>
      <c r="E21" s="28">
        <f t="shared" si="0"/>
        <v>7528563</v>
      </c>
      <c r="F21" s="28">
        <f>SUM(F9:F20)</f>
        <v>1001199</v>
      </c>
      <c r="G21" s="28">
        <f>SUM(G9:G20)</f>
        <v>374861</v>
      </c>
      <c r="H21" s="28">
        <f>SUM(H9:H20)</f>
        <v>6902225</v>
      </c>
      <c r="I21" s="42"/>
      <c r="J21" s="42"/>
    </row>
    <row r="23" spans="1:10" x14ac:dyDescent="0.25">
      <c r="A23" s="4" t="s">
        <v>146</v>
      </c>
      <c r="B23" s="4"/>
      <c r="C23" s="4"/>
      <c r="D23" s="4"/>
      <c r="E23" s="4"/>
      <c r="F23" s="4"/>
      <c r="G23" s="4"/>
      <c r="H23" s="4"/>
      <c r="I23" s="4"/>
      <c r="J23" s="4"/>
    </row>
    <row r="24" spans="1:10" ht="48" x14ac:dyDescent="0.25">
      <c r="A24" s="43" t="s">
        <v>147</v>
      </c>
      <c r="B24" s="43" t="s">
        <v>148</v>
      </c>
      <c r="C24" s="17" t="s">
        <v>149</v>
      </c>
      <c r="D24" s="43" t="s">
        <v>150</v>
      </c>
      <c r="E24" s="17" t="s">
        <v>151</v>
      </c>
      <c r="F24" s="49" t="s">
        <v>152</v>
      </c>
      <c r="G24" s="49"/>
      <c r="H24" s="49"/>
      <c r="I24" s="49"/>
      <c r="J24" s="49"/>
    </row>
    <row r="25" spans="1:10" ht="48" x14ac:dyDescent="0.25">
      <c r="A25" s="44" t="s">
        <v>153</v>
      </c>
      <c r="B25" s="44" t="s">
        <v>148</v>
      </c>
      <c r="C25" s="20" t="s">
        <v>154</v>
      </c>
      <c r="D25" s="44" t="s">
        <v>150</v>
      </c>
      <c r="E25" s="20" t="s">
        <v>155</v>
      </c>
      <c r="F25" s="50" t="s">
        <v>156</v>
      </c>
      <c r="G25" s="50"/>
      <c r="H25" s="50"/>
      <c r="I25" s="50"/>
      <c r="J25" s="50"/>
    </row>
  </sheetData>
  <mergeCells count="11">
    <mergeCell ref="F25:J25"/>
    <mergeCell ref="C7:E7"/>
    <mergeCell ref="H7:J7"/>
    <mergeCell ref="A21:B21"/>
    <mergeCell ref="A23:J23"/>
    <mergeCell ref="F24:J24"/>
    <mergeCell ref="A1:J1"/>
    <mergeCell ref="A3:J3"/>
    <mergeCell ref="A4:J4"/>
    <mergeCell ref="A5:J5"/>
    <mergeCell ref="A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5"/>
  <sheetViews>
    <sheetView showGridLines="0" zoomScaleNormal="100" workbookViewId="0"/>
  </sheetViews>
  <sheetFormatPr baseColWidth="10" defaultColWidth="8.7109375" defaultRowHeight="15" x14ac:dyDescent="0.25"/>
  <cols>
    <col min="1" max="1" width="28" customWidth="1"/>
    <col min="2" max="2" width="55" customWidth="1"/>
    <col min="3" max="3" width="40" customWidth="1"/>
  </cols>
  <sheetData>
    <row r="1" spans="1:3" ht="27.75" customHeight="1" x14ac:dyDescent="0.25">
      <c r="A1" s="9" t="s">
        <v>157</v>
      </c>
      <c r="B1" s="9"/>
      <c r="C1" s="9"/>
    </row>
    <row r="3" spans="1:3" ht="21.75" customHeight="1" x14ac:dyDescent="0.25">
      <c r="A3" s="51" t="s">
        <v>158</v>
      </c>
      <c r="B3" s="51"/>
      <c r="C3" s="51"/>
    </row>
    <row r="4" spans="1:3" ht="19.5" customHeight="1" x14ac:dyDescent="0.25">
      <c r="A4" s="45" t="s">
        <v>159</v>
      </c>
      <c r="B4" s="52" t="s">
        <v>160</v>
      </c>
      <c r="C4" s="52"/>
    </row>
    <row r="5" spans="1:3" ht="19.5" customHeight="1" x14ac:dyDescent="0.25">
      <c r="A5" s="46" t="s">
        <v>161</v>
      </c>
      <c r="B5" s="53" t="s">
        <v>162</v>
      </c>
      <c r="C5" s="53"/>
    </row>
    <row r="6" spans="1:3" ht="19.5" customHeight="1" x14ac:dyDescent="0.25">
      <c r="A6" s="45" t="s">
        <v>163</v>
      </c>
      <c r="B6" s="52" t="s">
        <v>164</v>
      </c>
      <c r="C6" s="52"/>
    </row>
    <row r="7" spans="1:3" ht="19.5" customHeight="1" x14ac:dyDescent="0.25">
      <c r="A7" s="46" t="s">
        <v>165</v>
      </c>
      <c r="B7" s="53" t="s">
        <v>166</v>
      </c>
      <c r="C7" s="53"/>
    </row>
    <row r="8" spans="1:3" ht="19.5" customHeight="1" x14ac:dyDescent="0.25">
      <c r="A8" s="45" t="s">
        <v>167</v>
      </c>
      <c r="B8" s="52" t="s">
        <v>168</v>
      </c>
      <c r="C8" s="52"/>
    </row>
    <row r="9" spans="1:3" ht="19.5" customHeight="1" x14ac:dyDescent="0.25">
      <c r="A9" s="46" t="s">
        <v>169</v>
      </c>
      <c r="B9" s="53" t="s">
        <v>170</v>
      </c>
      <c r="C9" s="53"/>
    </row>
    <row r="10" spans="1:3" ht="19.5" customHeight="1" x14ac:dyDescent="0.25">
      <c r="A10" s="45" t="s">
        <v>171</v>
      </c>
      <c r="B10" s="52" t="s">
        <v>172</v>
      </c>
      <c r="C10" s="52"/>
    </row>
    <row r="12" spans="1:3" ht="21.75" customHeight="1" x14ac:dyDescent="0.25">
      <c r="A12" s="51" t="s">
        <v>173</v>
      </c>
      <c r="B12" s="51"/>
      <c r="C12" s="51"/>
    </row>
    <row r="13" spans="1:3" ht="19.5" customHeight="1" x14ac:dyDescent="0.25">
      <c r="A13" s="45" t="s">
        <v>174</v>
      </c>
      <c r="B13" s="52" t="s">
        <v>175</v>
      </c>
      <c r="C13" s="52"/>
    </row>
    <row r="14" spans="1:3" ht="19.5" customHeight="1" x14ac:dyDescent="0.25">
      <c r="A14" s="46" t="s">
        <v>176</v>
      </c>
      <c r="B14" s="53" t="s">
        <v>177</v>
      </c>
      <c r="C14" s="53"/>
    </row>
    <row r="15" spans="1:3" ht="19.5" customHeight="1" x14ac:dyDescent="0.25">
      <c r="A15" s="45" t="s">
        <v>178</v>
      </c>
      <c r="B15" s="52" t="s">
        <v>179</v>
      </c>
      <c r="C15" s="52"/>
    </row>
    <row r="16" spans="1:3" ht="19.5" customHeight="1" x14ac:dyDescent="0.25">
      <c r="A16" s="46" t="s">
        <v>180</v>
      </c>
      <c r="B16" s="53" t="s">
        <v>181</v>
      </c>
      <c r="C16" s="53"/>
    </row>
    <row r="17" spans="1:3" ht="19.5" customHeight="1" x14ac:dyDescent="0.25">
      <c r="A17" s="45" t="s">
        <v>182</v>
      </c>
      <c r="B17" s="52" t="s">
        <v>183</v>
      </c>
      <c r="C17" s="52"/>
    </row>
    <row r="18" spans="1:3" ht="19.5" customHeight="1" x14ac:dyDescent="0.25">
      <c r="A18" s="46" t="s">
        <v>184</v>
      </c>
      <c r="B18" s="53" t="s">
        <v>185</v>
      </c>
      <c r="C18" s="53"/>
    </row>
    <row r="19" spans="1:3" ht="19.5" customHeight="1" x14ac:dyDescent="0.25">
      <c r="A19" s="45" t="s">
        <v>186</v>
      </c>
      <c r="B19" s="52" t="s">
        <v>187</v>
      </c>
      <c r="C19" s="52"/>
    </row>
    <row r="20" spans="1:3" ht="19.5" customHeight="1" x14ac:dyDescent="0.25">
      <c r="A20" s="46" t="s">
        <v>63</v>
      </c>
      <c r="B20" s="53" t="s">
        <v>188</v>
      </c>
      <c r="C20" s="53"/>
    </row>
    <row r="21" spans="1:3" ht="19.5" customHeight="1" x14ac:dyDescent="0.25">
      <c r="A21" s="45" t="s">
        <v>189</v>
      </c>
      <c r="B21" s="52" t="s">
        <v>190</v>
      </c>
      <c r="C21" s="52"/>
    </row>
    <row r="22" spans="1:3" ht="19.5" customHeight="1" x14ac:dyDescent="0.25">
      <c r="A22" s="46" t="s">
        <v>191</v>
      </c>
      <c r="B22" s="53" t="s">
        <v>192</v>
      </c>
      <c r="C22" s="53"/>
    </row>
    <row r="23" spans="1:3" ht="19.5" customHeight="1" x14ac:dyDescent="0.25">
      <c r="A23" s="45" t="s">
        <v>193</v>
      </c>
      <c r="B23" s="52" t="s">
        <v>194</v>
      </c>
      <c r="C23" s="52"/>
    </row>
    <row r="25" spans="1:3" ht="21.75" customHeight="1" x14ac:dyDescent="0.25">
      <c r="A25" s="51" t="s">
        <v>195</v>
      </c>
      <c r="B25" s="51"/>
      <c r="C25" s="51"/>
    </row>
    <row r="26" spans="1:3" ht="19.5" customHeight="1" x14ac:dyDescent="0.25">
      <c r="A26" s="45" t="s">
        <v>196</v>
      </c>
      <c r="B26" s="52" t="s">
        <v>197</v>
      </c>
      <c r="C26" s="52"/>
    </row>
    <row r="27" spans="1:3" ht="19.5" customHeight="1" x14ac:dyDescent="0.25">
      <c r="A27" s="46" t="s">
        <v>198</v>
      </c>
      <c r="B27" s="53" t="s">
        <v>199</v>
      </c>
      <c r="C27" s="53"/>
    </row>
    <row r="28" spans="1:3" ht="19.5" customHeight="1" x14ac:dyDescent="0.25">
      <c r="A28" s="45" t="s">
        <v>200</v>
      </c>
      <c r="B28" s="52" t="s">
        <v>201</v>
      </c>
      <c r="C28" s="52"/>
    </row>
    <row r="29" spans="1:3" ht="19.5" customHeight="1" x14ac:dyDescent="0.25">
      <c r="A29" s="46" t="s">
        <v>202</v>
      </c>
      <c r="B29" s="53" t="s">
        <v>203</v>
      </c>
      <c r="C29" s="53"/>
    </row>
    <row r="30" spans="1:3" ht="19.5" customHeight="1" x14ac:dyDescent="0.25">
      <c r="A30" s="45" t="s">
        <v>182</v>
      </c>
      <c r="B30" s="52" t="s">
        <v>204</v>
      </c>
      <c r="C30" s="52"/>
    </row>
    <row r="31" spans="1:3" ht="19.5" customHeight="1" x14ac:dyDescent="0.25">
      <c r="A31" s="46" t="s">
        <v>184</v>
      </c>
      <c r="B31" s="53" t="s">
        <v>205</v>
      </c>
      <c r="C31" s="53"/>
    </row>
    <row r="32" spans="1:3" ht="19.5" customHeight="1" x14ac:dyDescent="0.25">
      <c r="A32" s="45" t="s">
        <v>206</v>
      </c>
      <c r="B32" s="52" t="s">
        <v>207</v>
      </c>
      <c r="C32" s="52"/>
    </row>
    <row r="33" spans="1:3" ht="19.5" customHeight="1" x14ac:dyDescent="0.25">
      <c r="A33" s="46" t="s">
        <v>208</v>
      </c>
      <c r="B33" s="53" t="s">
        <v>209</v>
      </c>
      <c r="C33" s="53"/>
    </row>
    <row r="34" spans="1:3" ht="19.5" customHeight="1" x14ac:dyDescent="0.25">
      <c r="A34" s="45" t="s">
        <v>210</v>
      </c>
      <c r="B34" s="52" t="s">
        <v>211</v>
      </c>
      <c r="C34" s="52"/>
    </row>
    <row r="35" spans="1:3" ht="19.5" customHeight="1" x14ac:dyDescent="0.25">
      <c r="A35" s="46" t="s">
        <v>212</v>
      </c>
      <c r="B35" s="53" t="s">
        <v>213</v>
      </c>
      <c r="C35" s="53"/>
    </row>
    <row r="37" spans="1:3" ht="21.75" customHeight="1" x14ac:dyDescent="0.25">
      <c r="A37" s="51" t="s">
        <v>214</v>
      </c>
      <c r="B37" s="51"/>
      <c r="C37" s="51"/>
    </row>
    <row r="38" spans="1:3" ht="19.5" customHeight="1" x14ac:dyDescent="0.25">
      <c r="A38" s="45" t="s">
        <v>215</v>
      </c>
      <c r="B38" s="52" t="s">
        <v>216</v>
      </c>
      <c r="C38" s="52"/>
    </row>
    <row r="39" spans="1:3" ht="19.5" customHeight="1" x14ac:dyDescent="0.25">
      <c r="A39" s="46" t="s">
        <v>217</v>
      </c>
      <c r="B39" s="53" t="s">
        <v>218</v>
      </c>
      <c r="C39" s="53"/>
    </row>
    <row r="40" spans="1:3" ht="19.5" customHeight="1" x14ac:dyDescent="0.25">
      <c r="A40" s="45" t="s">
        <v>219</v>
      </c>
      <c r="B40" s="52" t="s">
        <v>220</v>
      </c>
      <c r="C40" s="52"/>
    </row>
    <row r="41" spans="1:3" ht="19.5" customHeight="1" x14ac:dyDescent="0.25">
      <c r="A41" s="46" t="s">
        <v>221</v>
      </c>
      <c r="B41" s="53" t="s">
        <v>222</v>
      </c>
      <c r="C41" s="53"/>
    </row>
    <row r="42" spans="1:3" ht="19.5" customHeight="1" x14ac:dyDescent="0.25">
      <c r="A42" s="45" t="s">
        <v>223</v>
      </c>
      <c r="B42" s="52" t="s">
        <v>224</v>
      </c>
      <c r="C42" s="52"/>
    </row>
    <row r="43" spans="1:3" ht="19.5" customHeight="1" x14ac:dyDescent="0.25">
      <c r="A43" s="46" t="s">
        <v>225</v>
      </c>
      <c r="B43" s="53" t="s">
        <v>226</v>
      </c>
      <c r="C43" s="53"/>
    </row>
    <row r="44" spans="1:3" ht="19.5" customHeight="1" x14ac:dyDescent="0.25">
      <c r="A44" s="45" t="s">
        <v>227</v>
      </c>
      <c r="B44" s="52" t="s">
        <v>228</v>
      </c>
      <c r="C44" s="52"/>
    </row>
    <row r="45" spans="1:3" ht="19.5" customHeight="1" x14ac:dyDescent="0.25">
      <c r="A45" s="46" t="s">
        <v>229</v>
      </c>
      <c r="B45" s="53" t="s">
        <v>230</v>
      </c>
      <c r="C45" s="53"/>
    </row>
  </sheetData>
  <mergeCells count="41">
    <mergeCell ref="B45:C45"/>
    <mergeCell ref="B40:C40"/>
    <mergeCell ref="B41:C41"/>
    <mergeCell ref="B42:C42"/>
    <mergeCell ref="B43:C43"/>
    <mergeCell ref="B44:C44"/>
    <mergeCell ref="B34:C34"/>
    <mergeCell ref="B35:C35"/>
    <mergeCell ref="A37:C37"/>
    <mergeCell ref="B38:C38"/>
    <mergeCell ref="B39:C39"/>
    <mergeCell ref="B29:C29"/>
    <mergeCell ref="B30:C30"/>
    <mergeCell ref="B31:C31"/>
    <mergeCell ref="B32:C32"/>
    <mergeCell ref="B33:C33"/>
    <mergeCell ref="B23:C23"/>
    <mergeCell ref="A25:C25"/>
    <mergeCell ref="B26:C26"/>
    <mergeCell ref="B27:C27"/>
    <mergeCell ref="B28:C28"/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B7:C7"/>
    <mergeCell ref="B8:C8"/>
    <mergeCell ref="B9:C9"/>
    <mergeCell ref="B10:C10"/>
    <mergeCell ref="A12:C12"/>
    <mergeCell ref="A1:C1"/>
    <mergeCell ref="A3:C3"/>
    <mergeCell ref="B4:C4"/>
    <mergeCell ref="B5:C5"/>
    <mergeCell ref="B6:C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✅ Closing Checklist</vt:lpstr>
      <vt:lpstr>📊 Monthly P&amp;L (GuV)</vt:lpstr>
      <vt:lpstr>📋 Annual Closing</vt:lpstr>
      <vt:lpstr>📐 Accruals (ARAP-PRAP)</vt:lpstr>
      <vt:lpstr>📖 Legende &amp; Formeln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2026-06-04T11:59:19Z</dcterms:created>
  <dcterms:modified xsi:type="dcterms:W3CDTF">2026-06-04T15:59:07Z</dcterms:modified>
  <dc:language>en-US</dc:language>
</cp:coreProperties>
</file>